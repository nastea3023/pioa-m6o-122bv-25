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Hackaton\"/>
    </mc:Choice>
  </mc:AlternateContent>
  <xr:revisionPtr revIDLastSave="0" documentId="13_ncr:1_{A93A1B57-5A5F-4DFB-8941-520B86DA09EF}" xr6:coauthVersionLast="47" xr6:coauthVersionMax="47" xr10:uidLastSave="{00000000-0000-0000-0000-000000000000}"/>
  <bookViews>
    <workbookView xWindow="-120" yWindow="330" windowWidth="38640" windowHeight="21390" xr2:uid="{895ADD40-290C-481F-9763-9BC43B078A41}"/>
  </bookViews>
  <sheets>
    <sheet name="ECC check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8" i="7" l="1"/>
  <c r="E38" i="7"/>
  <c r="E53" i="7" s="1"/>
  <c r="F38" i="7"/>
  <c r="G38" i="7"/>
  <c r="G53" i="7" s="1"/>
  <c r="H38" i="7"/>
  <c r="I38" i="7"/>
  <c r="J38" i="7"/>
  <c r="K38" i="7"/>
  <c r="L38" i="7"/>
  <c r="M38" i="7"/>
  <c r="N38" i="7"/>
  <c r="O38" i="7"/>
  <c r="P38" i="7"/>
  <c r="P39" i="7" s="1"/>
  <c r="J44" i="7" s="1"/>
  <c r="J48" i="7" s="1"/>
  <c r="Q38" i="7"/>
  <c r="R38" i="7"/>
  <c r="S38" i="7"/>
  <c r="T38" i="7"/>
  <c r="U38" i="7"/>
  <c r="V38" i="7"/>
  <c r="W38" i="7"/>
  <c r="X38" i="7"/>
  <c r="Y38" i="7"/>
  <c r="Y39" i="7" s="1"/>
  <c r="T44" i="7" s="1"/>
  <c r="Z38" i="7"/>
  <c r="AA38" i="7"/>
  <c r="AB38" i="7"/>
  <c r="AC38" i="7"/>
  <c r="AC39" i="7" s="1"/>
  <c r="X44" i="7" s="1"/>
  <c r="AD38" i="7"/>
  <c r="AE38" i="7"/>
  <c r="AF38" i="7"/>
  <c r="AG38" i="7"/>
  <c r="AH38" i="7"/>
  <c r="C38" i="7"/>
  <c r="AF19" i="7"/>
  <c r="AG19" i="7"/>
  <c r="AF20" i="7"/>
  <c r="AG20" i="7"/>
  <c r="AF21" i="7"/>
  <c r="AG21" i="7"/>
  <c r="AF22" i="7"/>
  <c r="AG22" i="7"/>
  <c r="AF18" i="7"/>
  <c r="AG18" i="7"/>
  <c r="R19" i="7"/>
  <c r="Z19" i="7"/>
  <c r="AD19" i="7"/>
  <c r="R20" i="7"/>
  <c r="Z20" i="7"/>
  <c r="AD20" i="7"/>
  <c r="R21" i="7"/>
  <c r="Z21" i="7"/>
  <c r="AD21" i="7"/>
  <c r="R22" i="7"/>
  <c r="Z22" i="7"/>
  <c r="AD22" i="7"/>
  <c r="R18" i="7"/>
  <c r="Z18" i="7"/>
  <c r="AD18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S14" i="7"/>
  <c r="T14" i="7"/>
  <c r="U14" i="7"/>
  <c r="V14" i="7"/>
  <c r="W14" i="7"/>
  <c r="X14" i="7"/>
  <c r="Y14" i="7"/>
  <c r="AA14" i="7"/>
  <c r="AB14" i="7"/>
  <c r="AC14" i="7"/>
  <c r="AE14" i="7"/>
  <c r="D12" i="7"/>
  <c r="D16" i="7" s="1"/>
  <c r="E12" i="7"/>
  <c r="E16" i="7" s="1"/>
  <c r="E21" i="7" s="1"/>
  <c r="F12" i="7"/>
  <c r="F16" i="7" s="1"/>
  <c r="G12" i="7"/>
  <c r="G16" i="7" s="1"/>
  <c r="G20" i="7" s="1"/>
  <c r="H12" i="7"/>
  <c r="H16" i="7" s="1"/>
  <c r="I12" i="7"/>
  <c r="I16" i="7" s="1"/>
  <c r="I22" i="7" s="1"/>
  <c r="J12" i="7"/>
  <c r="J16" i="7" s="1"/>
  <c r="J20" i="7" s="1"/>
  <c r="K12" i="7"/>
  <c r="K16" i="7" s="1"/>
  <c r="K20" i="7" s="1"/>
  <c r="L12" i="7"/>
  <c r="L16" i="7" s="1"/>
  <c r="L19" i="7" s="1"/>
  <c r="M12" i="7"/>
  <c r="M16" i="7" s="1"/>
  <c r="M22" i="7" s="1"/>
  <c r="N12" i="7"/>
  <c r="N16" i="7" s="1"/>
  <c r="N21" i="7" s="1"/>
  <c r="O12" i="7"/>
  <c r="O16" i="7" s="1"/>
  <c r="P12" i="7"/>
  <c r="P16" i="7" s="1"/>
  <c r="Q12" i="7"/>
  <c r="Q16" i="7" s="1"/>
  <c r="Q21" i="7" s="1"/>
  <c r="R12" i="7"/>
  <c r="S16" i="7" s="1"/>
  <c r="S20" i="7" s="1"/>
  <c r="S12" i="7"/>
  <c r="T16" i="7" s="1"/>
  <c r="T20" i="7" s="1"/>
  <c r="T12" i="7"/>
  <c r="U16" i="7" s="1"/>
  <c r="U22" i="7" s="1"/>
  <c r="U12" i="7"/>
  <c r="V16" i="7" s="1"/>
  <c r="V20" i="7" s="1"/>
  <c r="V12" i="7"/>
  <c r="AB71" i="7" s="1"/>
  <c r="AB72" i="7" s="1"/>
  <c r="W12" i="7"/>
  <c r="AC71" i="7" s="1"/>
  <c r="AC72" i="7" s="1"/>
  <c r="X12" i="7"/>
  <c r="Y16" i="7" s="1"/>
  <c r="Y19" i="7" s="1"/>
  <c r="Y12" i="7"/>
  <c r="AA16" i="7" s="1"/>
  <c r="AA19" i="7" s="1"/>
  <c r="Z12" i="7"/>
  <c r="AB16" i="7" s="1"/>
  <c r="AB18" i="7" s="1"/>
  <c r="AA12" i="7"/>
  <c r="AC16" i="7" s="1"/>
  <c r="AC21" i="7" s="1"/>
  <c r="AB12" i="7"/>
  <c r="AE16" i="7" s="1"/>
  <c r="AE20" i="7" s="1"/>
  <c r="C12" i="7"/>
  <c r="C16" i="7" s="1"/>
  <c r="C19" i="7" s="1"/>
  <c r="C40" i="7"/>
  <c r="D40" i="7"/>
  <c r="F40" i="7"/>
  <c r="G40" i="7"/>
  <c r="I40" i="7"/>
  <c r="J40" i="7"/>
  <c r="K40" i="7"/>
  <c r="L40" i="7"/>
  <c r="N40" i="7"/>
  <c r="O40" i="7"/>
  <c r="S40" i="7"/>
  <c r="V40" i="7"/>
  <c r="W40" i="7"/>
  <c r="X40" i="7"/>
  <c r="Z40" i="7"/>
  <c r="AA40" i="7"/>
  <c r="AB40" i="7"/>
  <c r="AD40" i="7"/>
  <c r="AE40" i="7"/>
  <c r="AG40" i="7"/>
  <c r="AH40" i="7"/>
  <c r="R39" i="7"/>
  <c r="L44" i="7" s="1"/>
  <c r="U39" i="7"/>
  <c r="O44" i="7" s="1"/>
  <c r="AG50" i="7"/>
  <c r="AF50" i="7"/>
  <c r="AD50" i="7"/>
  <c r="Z50" i="7"/>
  <c r="R50" i="7"/>
  <c r="AG49" i="7"/>
  <c r="AF49" i="7"/>
  <c r="AD49" i="7"/>
  <c r="Z49" i="7"/>
  <c r="R49" i="7"/>
  <c r="AG48" i="7"/>
  <c r="AF48" i="7"/>
  <c r="AD48" i="7"/>
  <c r="Z48" i="7"/>
  <c r="R48" i="7"/>
  <c r="AG47" i="7"/>
  <c r="AF47" i="7"/>
  <c r="AD47" i="7"/>
  <c r="Z47" i="7"/>
  <c r="R47" i="7"/>
  <c r="AG46" i="7"/>
  <c r="AF46" i="7"/>
  <c r="AD46" i="7"/>
  <c r="Z46" i="7"/>
  <c r="R46" i="7"/>
  <c r="F53" i="7"/>
  <c r="AA21" i="7" l="1"/>
  <c r="AB21" i="7"/>
  <c r="U18" i="7"/>
  <c r="U20" i="7"/>
  <c r="I18" i="7"/>
  <c r="N39" i="7"/>
  <c r="H44" i="7" s="1"/>
  <c r="H49" i="7" s="1"/>
  <c r="N19" i="7"/>
  <c r="J22" i="7"/>
  <c r="M19" i="7"/>
  <c r="K19" i="7"/>
  <c r="J18" i="7"/>
  <c r="W39" i="7"/>
  <c r="Q44" i="7" s="1"/>
  <c r="Q47" i="7" s="1"/>
  <c r="X16" i="7"/>
  <c r="X19" i="7" s="1"/>
  <c r="M20" i="7"/>
  <c r="W16" i="7"/>
  <c r="W20" i="7" s="1"/>
  <c r="K22" i="7"/>
  <c r="I20" i="7"/>
  <c r="H18" i="7"/>
  <c r="H21" i="7"/>
  <c r="H20" i="7"/>
  <c r="K71" i="7"/>
  <c r="K72" i="7" s="1"/>
  <c r="J71" i="7"/>
  <c r="J72" i="7" s="1"/>
  <c r="Q71" i="7"/>
  <c r="Q72" i="7" s="1"/>
  <c r="AA22" i="7"/>
  <c r="P71" i="7"/>
  <c r="P72" i="7" s="1"/>
  <c r="V71" i="7"/>
  <c r="V72" i="7" s="1"/>
  <c r="AA18" i="7"/>
  <c r="AA71" i="7"/>
  <c r="AA72" i="7" s="1"/>
  <c r="O71" i="7"/>
  <c r="O72" i="7" s="1"/>
  <c r="W71" i="7"/>
  <c r="W72" i="7" s="1"/>
  <c r="C18" i="7"/>
  <c r="AD71" i="7"/>
  <c r="AD72" i="7" s="1"/>
  <c r="R71" i="7"/>
  <c r="R72" i="7" s="1"/>
  <c r="W22" i="7"/>
  <c r="M21" i="7"/>
  <c r="Z71" i="7"/>
  <c r="Z72" i="7" s="1"/>
  <c r="N71" i="7"/>
  <c r="N72" i="7" s="1"/>
  <c r="V18" i="7"/>
  <c r="V22" i="7"/>
  <c r="Y71" i="7"/>
  <c r="Y72" i="7" s="1"/>
  <c r="M71" i="7"/>
  <c r="M72" i="7" s="1"/>
  <c r="C21" i="7"/>
  <c r="Q19" i="7"/>
  <c r="X71" i="7"/>
  <c r="X72" i="7" s="1"/>
  <c r="L71" i="7"/>
  <c r="L72" i="7" s="1"/>
  <c r="C22" i="7"/>
  <c r="AE21" i="7"/>
  <c r="E19" i="7"/>
  <c r="AF71" i="7"/>
  <c r="AF72" i="7" s="1"/>
  <c r="T71" i="7"/>
  <c r="T72" i="7" s="1"/>
  <c r="AH71" i="7"/>
  <c r="AH72" i="7" s="1"/>
  <c r="Q18" i="7"/>
  <c r="Y20" i="7"/>
  <c r="I71" i="7"/>
  <c r="I72" i="7" s="1"/>
  <c r="U71" i="7"/>
  <c r="U72" i="7" s="1"/>
  <c r="AG71" i="7"/>
  <c r="AG72" i="7" s="1"/>
  <c r="E18" i="7"/>
  <c r="AE71" i="7"/>
  <c r="AE72" i="7" s="1"/>
  <c r="S71" i="7"/>
  <c r="S72" i="7" s="1"/>
  <c r="O21" i="7"/>
  <c r="O19" i="7"/>
  <c r="O22" i="7"/>
  <c r="O20" i="7"/>
  <c r="O18" i="7"/>
  <c r="F21" i="7"/>
  <c r="F19" i="7"/>
  <c r="F20" i="7"/>
  <c r="F22" i="7"/>
  <c r="F18" i="7"/>
  <c r="P18" i="7"/>
  <c r="P19" i="7"/>
  <c r="P22" i="7"/>
  <c r="P20" i="7"/>
  <c r="P21" i="7"/>
  <c r="D18" i="7"/>
  <c r="D21" i="7"/>
  <c r="D19" i="7"/>
  <c r="D22" i="7"/>
  <c r="D20" i="7"/>
  <c r="AC18" i="7"/>
  <c r="T22" i="7"/>
  <c r="Y21" i="7"/>
  <c r="N18" i="7"/>
  <c r="AE22" i="7"/>
  <c r="S22" i="7"/>
  <c r="G22" i="7"/>
  <c r="L21" i="7"/>
  <c r="AC20" i="7"/>
  <c r="Q20" i="7"/>
  <c r="E20" i="7"/>
  <c r="V19" i="7"/>
  <c r="J19" i="7"/>
  <c r="H22" i="7"/>
  <c r="Y18" i="7"/>
  <c r="M18" i="7"/>
  <c r="W21" i="7"/>
  <c r="K21" i="7"/>
  <c r="AB20" i="7"/>
  <c r="U19" i="7"/>
  <c r="I19" i="7"/>
  <c r="L18" i="7"/>
  <c r="AC22" i="7"/>
  <c r="Q22" i="7"/>
  <c r="E22" i="7"/>
  <c r="V21" i="7"/>
  <c r="J21" i="7"/>
  <c r="AA20" i="7"/>
  <c r="C20" i="7"/>
  <c r="T19" i="7"/>
  <c r="H19" i="7"/>
  <c r="W19" i="7"/>
  <c r="W18" i="7"/>
  <c r="K18" i="7"/>
  <c r="AB22" i="7"/>
  <c r="U21" i="7"/>
  <c r="I21" i="7"/>
  <c r="N20" i="7"/>
  <c r="AE19" i="7"/>
  <c r="S19" i="7"/>
  <c r="G19" i="7"/>
  <c r="N22" i="7"/>
  <c r="G21" i="7"/>
  <c r="AC19" i="7"/>
  <c r="T21" i="7"/>
  <c r="L20" i="7"/>
  <c r="T18" i="7"/>
  <c r="Y22" i="7"/>
  <c r="AB19" i="7"/>
  <c r="S21" i="7"/>
  <c r="AE18" i="7"/>
  <c r="S18" i="7"/>
  <c r="G18" i="7"/>
  <c r="L22" i="7"/>
  <c r="AB39" i="7"/>
  <c r="W44" i="7" s="1"/>
  <c r="W50" i="7" s="1"/>
  <c r="L39" i="7"/>
  <c r="F44" i="7" s="1"/>
  <c r="F50" i="7" s="1"/>
  <c r="Z39" i="7"/>
  <c r="Z75" i="7" s="1"/>
  <c r="V39" i="7"/>
  <c r="P44" i="7" s="1"/>
  <c r="P46" i="7" s="1"/>
  <c r="Y75" i="7"/>
  <c r="U75" i="7"/>
  <c r="R75" i="7"/>
  <c r="AE39" i="7"/>
  <c r="AA44" i="7" s="1"/>
  <c r="AA48" i="7" s="1"/>
  <c r="S39" i="7"/>
  <c r="M44" i="7" s="1"/>
  <c r="M49" i="7" s="1"/>
  <c r="AD39" i="7"/>
  <c r="Q39" i="7"/>
  <c r="K44" i="7" s="1"/>
  <c r="K50" i="7" s="1"/>
  <c r="K39" i="7"/>
  <c r="X39" i="7"/>
  <c r="AG39" i="7"/>
  <c r="I39" i="7"/>
  <c r="AA39" i="7"/>
  <c r="O39" i="7"/>
  <c r="AC75" i="7"/>
  <c r="P75" i="7"/>
  <c r="M39" i="7"/>
  <c r="J39" i="7"/>
  <c r="AF39" i="7"/>
  <c r="T39" i="7"/>
  <c r="H39" i="7"/>
  <c r="G39" i="7"/>
  <c r="G75" i="7" s="1"/>
  <c r="F39" i="7"/>
  <c r="F75" i="7" s="1"/>
  <c r="E39" i="7"/>
  <c r="D39" i="7"/>
  <c r="D75" i="7" s="1"/>
  <c r="C39" i="7"/>
  <c r="C75" i="7" s="1"/>
  <c r="C53" i="7"/>
  <c r="D53" i="7"/>
  <c r="O46" i="7"/>
  <c r="T49" i="7"/>
  <c r="T50" i="7"/>
  <c r="T46" i="7"/>
  <c r="T48" i="7"/>
  <c r="T47" i="7"/>
  <c r="J50" i="7"/>
  <c r="J46" i="7"/>
  <c r="J47" i="7"/>
  <c r="J49" i="7"/>
  <c r="X47" i="7"/>
  <c r="X50" i="7"/>
  <c r="X48" i="7"/>
  <c r="X46" i="7"/>
  <c r="X49" i="7"/>
  <c r="L47" i="7"/>
  <c r="L46" i="7"/>
  <c r="L48" i="7"/>
  <c r="L50" i="7"/>
  <c r="L49" i="7"/>
  <c r="H48" i="7" l="1"/>
  <c r="H47" i="7"/>
  <c r="H46" i="7"/>
  <c r="H50" i="7"/>
  <c r="Q50" i="7"/>
  <c r="Q46" i="7"/>
  <c r="Q49" i="7"/>
  <c r="N75" i="7"/>
  <c r="M48" i="7"/>
  <c r="X18" i="7"/>
  <c r="X20" i="7"/>
  <c r="E25" i="7" s="1"/>
  <c r="E71" i="7" s="1"/>
  <c r="E72" i="7" s="1"/>
  <c r="X22" i="7"/>
  <c r="C25" i="7" s="1"/>
  <c r="X21" i="7"/>
  <c r="D25" i="7" s="1"/>
  <c r="D71" i="7" s="1"/>
  <c r="D72" i="7" s="1"/>
  <c r="F25" i="7"/>
  <c r="F71" i="7" s="1"/>
  <c r="F72" i="7" s="1"/>
  <c r="Q48" i="7"/>
  <c r="AA47" i="7"/>
  <c r="W49" i="7"/>
  <c r="W75" i="7"/>
  <c r="AA46" i="7"/>
  <c r="M46" i="7"/>
  <c r="G25" i="7"/>
  <c r="G71" i="7" s="1"/>
  <c r="G72" i="7" s="1"/>
  <c r="P48" i="7"/>
  <c r="W48" i="7"/>
  <c r="AE75" i="7"/>
  <c r="W47" i="7"/>
  <c r="AB75" i="7"/>
  <c r="F48" i="7"/>
  <c r="F49" i="7"/>
  <c r="AA50" i="7"/>
  <c r="AA49" i="7"/>
  <c r="F46" i="7"/>
  <c r="U44" i="7"/>
  <c r="U46" i="7" s="1"/>
  <c r="F47" i="7"/>
  <c r="M50" i="7"/>
  <c r="M47" i="7"/>
  <c r="W46" i="7"/>
  <c r="L75" i="7"/>
  <c r="Q75" i="7"/>
  <c r="V75" i="7"/>
  <c r="Y44" i="7"/>
  <c r="AD75" i="7"/>
  <c r="K48" i="7"/>
  <c r="K49" i="7"/>
  <c r="K47" i="7"/>
  <c r="K46" i="7"/>
  <c r="S75" i="7"/>
  <c r="C44" i="7"/>
  <c r="I75" i="7"/>
  <c r="C58" i="7"/>
  <c r="H75" i="7"/>
  <c r="G44" i="7"/>
  <c r="G47" i="7" s="1"/>
  <c r="M75" i="7"/>
  <c r="D44" i="7"/>
  <c r="D50" i="7" s="1"/>
  <c r="J75" i="7"/>
  <c r="S44" i="7"/>
  <c r="X75" i="7"/>
  <c r="AC44" i="7"/>
  <c r="AG75" i="7"/>
  <c r="N44" i="7"/>
  <c r="N50" i="7" s="1"/>
  <c r="T75" i="7"/>
  <c r="AB44" i="7"/>
  <c r="AF75" i="7"/>
  <c r="E44" i="7"/>
  <c r="K75" i="7"/>
  <c r="E75" i="7"/>
  <c r="I44" i="7"/>
  <c r="O75" i="7"/>
  <c r="V44" i="7"/>
  <c r="AA75" i="7"/>
  <c r="P49" i="7"/>
  <c r="P47" i="7"/>
  <c r="O49" i="7"/>
  <c r="O50" i="7"/>
  <c r="P50" i="7"/>
  <c r="O48" i="7"/>
  <c r="O47" i="7"/>
  <c r="D48" i="7"/>
  <c r="AH39" i="7"/>
  <c r="U48" i="7" l="1"/>
  <c r="C71" i="7"/>
  <c r="C72" i="7" s="1"/>
  <c r="C27" i="7"/>
  <c r="H71" i="7" s="1"/>
  <c r="H72" i="7" s="1"/>
  <c r="U50" i="7"/>
  <c r="U49" i="7"/>
  <c r="U47" i="7"/>
  <c r="AH75" i="7"/>
  <c r="B34" i="7" s="1"/>
  <c r="AE44" i="7"/>
  <c r="AE46" i="7" s="1"/>
  <c r="G48" i="7"/>
  <c r="G50" i="7"/>
  <c r="N49" i="7"/>
  <c r="C59" i="7"/>
  <c r="C60" i="7" s="1"/>
  <c r="Y46" i="7"/>
  <c r="Y48" i="7"/>
  <c r="Y47" i="7"/>
  <c r="Y50" i="7"/>
  <c r="Y49" i="7"/>
  <c r="D46" i="7"/>
  <c r="D47" i="7"/>
  <c r="I50" i="7"/>
  <c r="I49" i="7"/>
  <c r="I47" i="7"/>
  <c r="I48" i="7"/>
  <c r="I46" i="7"/>
  <c r="S48" i="7"/>
  <c r="S47" i="7"/>
  <c r="S46" i="7"/>
  <c r="S49" i="7"/>
  <c r="S50" i="7"/>
  <c r="E50" i="7"/>
  <c r="E46" i="7"/>
  <c r="E49" i="7"/>
  <c r="E48" i="7"/>
  <c r="E47" i="7"/>
  <c r="G49" i="7"/>
  <c r="G46" i="7"/>
  <c r="AC48" i="7"/>
  <c r="AC46" i="7"/>
  <c r="AC50" i="7"/>
  <c r="AC47" i="7"/>
  <c r="AC49" i="7"/>
  <c r="V46" i="7"/>
  <c r="V47" i="7"/>
  <c r="V50" i="7"/>
  <c r="V49" i="7"/>
  <c r="V48" i="7"/>
  <c r="AB48" i="7"/>
  <c r="AB47" i="7"/>
  <c r="AB49" i="7"/>
  <c r="AB46" i="7"/>
  <c r="AB50" i="7"/>
  <c r="D49" i="7"/>
  <c r="N46" i="7"/>
  <c r="N48" i="7"/>
  <c r="N47" i="7"/>
  <c r="C49" i="7"/>
  <c r="C46" i="7"/>
  <c r="C50" i="7"/>
  <c r="C48" i="7"/>
  <c r="C47" i="7"/>
  <c r="B29" i="7" l="1"/>
  <c r="AE50" i="7"/>
  <c r="C54" i="7" s="1"/>
  <c r="C55" i="7" s="1"/>
  <c r="C74" i="7" s="1"/>
  <c r="AE48" i="7"/>
  <c r="E54" i="7" s="1"/>
  <c r="E55" i="7" s="1"/>
  <c r="E74" i="7" s="1"/>
  <c r="AE49" i="7"/>
  <c r="D54" i="7" s="1"/>
  <c r="D55" i="7" s="1"/>
  <c r="D74" i="7" s="1"/>
  <c r="AE47" i="7"/>
  <c r="F54" i="7"/>
  <c r="F55" i="7" s="1"/>
  <c r="F74" i="7" s="1"/>
  <c r="G54" i="7"/>
  <c r="G55" i="7" s="1"/>
  <c r="G74" i="7" s="1"/>
  <c r="C56" i="7" l="1"/>
</calcChain>
</file>

<file path=xl/sharedStrings.xml><?xml version="1.0" encoding="utf-8"?>
<sst xmlns="http://schemas.openxmlformats.org/spreadsheetml/2006/main" count="60" uniqueCount="44">
  <si>
    <t>28A0914A</t>
  </si>
  <si>
    <t>Parity order</t>
  </si>
  <si>
    <t>Received parity</t>
  </si>
  <si>
    <t>Calculated Parity</t>
  </si>
  <si>
    <t>Syndrome</t>
  </si>
  <si>
    <t>(intermediate step)</t>
  </si>
  <si>
    <t>bit number</t>
  </si>
  <si>
    <t>Parity mask [0]</t>
  </si>
  <si>
    <t>Parity mask [1]</t>
  </si>
  <si>
    <t>Parity mask [2]</t>
  </si>
  <si>
    <t>Parity mask [3]</t>
  </si>
  <si>
    <t>Parity mask [4]</t>
  </si>
  <si>
    <t>Original Instruction, hex</t>
  </si>
  <si>
    <t>Received instrution, bin</t>
  </si>
  <si>
    <t>Original Instruction, bin</t>
  </si>
  <si>
    <t>Received instrution, hex</t>
  </si>
  <si>
    <t>Bit mismatch</t>
  </si>
  <si>
    <t>Data bits</t>
  </si>
  <si>
    <t>Full Parity bit</t>
  </si>
  <si>
    <t>Partial parity</t>
  </si>
  <si>
    <t>Error position (in codeword)</t>
  </si>
  <si>
    <t>Codeword</t>
  </si>
  <si>
    <t>Codeword ^ Parity mask [0]</t>
  </si>
  <si>
    <t>Codeword ^ Parity mask [1]</t>
  </si>
  <si>
    <t>Codeword ^ Parity mask [2]</t>
  </si>
  <si>
    <t>Codeword ^ Parity mask [3]</t>
  </si>
  <si>
    <t>Codeword ^ Parity mask [4]</t>
  </si>
  <si>
    <t>Calculated Full parity</t>
  </si>
  <si>
    <t>Received Full parity</t>
  </si>
  <si>
    <t>Instruction valid (or double error)?</t>
  </si>
  <si>
    <t>&lt;-</t>
  </si>
  <si>
    <t>Insert Original instruction</t>
  </si>
  <si>
    <t>Codeword bit number</t>
  </si>
  <si>
    <t>Original bit number</t>
  </si>
  <si>
    <t>Introduce errors by changing this bits</t>
  </si>
  <si>
    <t>Data bit number</t>
  </si>
  <si>
    <t>A0914A</t>
  </si>
  <si>
    <t>Data with ECC (5+1+26 bits)</t>
  </si>
  <si>
    <t>Data (26 bits), hex</t>
  </si>
  <si>
    <t>Data (26 bits), bin</t>
  </si>
  <si>
    <t>Codeword (26+5 bits), bin</t>
  </si>
  <si>
    <t>Insert Data</t>
  </si>
  <si>
    <t>ECC calculation example</t>
  </si>
  <si>
    <t>ECC check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</si>
</sst>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ourier New"/>
      <family val="3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922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 applyAlignment="1"/>
    <xf numFmtId="0" fontId="1" fillId="5" borderId="0" xfId="0" applyFont="1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 applyBorder="1"/>
    <xf numFmtId="0" fontId="0" fillId="0" borderId="4" xfId="0" applyBorder="1"/>
  </cellXfs>
  <cellStyles count="1">
    <cellStyle name="Обычный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66FF"/>
      <color rgb="FFFF9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3B77-BC08-42D1-A260-21574B6FFBD6}">
  <dimension ref="A1:AM75"/>
  <sheetViews>
    <sheetView tabSelected="1" zoomScale="85" zoomScaleNormal="85" workbookViewId="0">
      <selection activeCell="L26" sqref="L26"/>
    </sheetView>
  </sheetViews>
  <sheetFormatPr defaultRowHeight="15" x14ac:dyDescent="0.25"/>
  <cols>
    <col min="1" max="1" width="37" customWidth="1"/>
    <col min="2" max="2" width="9.5703125" bestFit="1" customWidth="1"/>
  </cols>
  <sheetData>
    <row r="1" spans="1:34" x14ac:dyDescent="0.25">
      <c r="A1" t="s">
        <v>6</v>
      </c>
      <c r="C1">
        <v>31</v>
      </c>
      <c r="D1">
        <v>30</v>
      </c>
      <c r="E1">
        <v>29</v>
      </c>
      <c r="F1">
        <v>28</v>
      </c>
      <c r="G1">
        <v>27</v>
      </c>
      <c r="H1">
        <v>26</v>
      </c>
      <c r="I1">
        <v>25</v>
      </c>
      <c r="J1">
        <v>24</v>
      </c>
      <c r="K1">
        <v>23</v>
      </c>
      <c r="L1">
        <v>22</v>
      </c>
      <c r="M1">
        <v>21</v>
      </c>
      <c r="N1">
        <v>20</v>
      </c>
      <c r="O1">
        <v>19</v>
      </c>
      <c r="P1">
        <v>18</v>
      </c>
      <c r="Q1">
        <v>17</v>
      </c>
      <c r="R1">
        <v>16</v>
      </c>
      <c r="S1">
        <v>15</v>
      </c>
      <c r="T1">
        <v>14</v>
      </c>
      <c r="U1">
        <v>13</v>
      </c>
      <c r="V1">
        <v>12</v>
      </c>
      <c r="W1">
        <v>11</v>
      </c>
      <c r="X1">
        <v>10</v>
      </c>
      <c r="Y1">
        <v>9</v>
      </c>
      <c r="Z1">
        <v>8</v>
      </c>
      <c r="AA1">
        <v>7</v>
      </c>
      <c r="AB1">
        <v>6</v>
      </c>
      <c r="AC1">
        <v>5</v>
      </c>
      <c r="AD1">
        <v>4</v>
      </c>
      <c r="AE1">
        <v>3</v>
      </c>
      <c r="AF1">
        <v>2</v>
      </c>
      <c r="AG1">
        <v>1</v>
      </c>
    </row>
    <row r="2" spans="1:34" x14ac:dyDescent="0.25">
      <c r="A2" t="s">
        <v>7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</row>
    <row r="3" spans="1:34" x14ac:dyDescent="0.25">
      <c r="A3" t="s">
        <v>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</row>
    <row r="4" spans="1:34" x14ac:dyDescent="0.25">
      <c r="A4" t="s">
        <v>9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0</v>
      </c>
    </row>
    <row r="5" spans="1:34" x14ac:dyDescent="0.25">
      <c r="A5" t="s">
        <v>10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4" x14ac:dyDescent="0.25">
      <c r="A6" t="s">
        <v>11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8" spans="1:34" ht="15.75" thickBot="1" x14ac:dyDescent="0.3">
      <c r="A8" s="17" t="s">
        <v>42</v>
      </c>
    </row>
    <row r="9" spans="1:34" ht="15.75" thickBot="1" x14ac:dyDescent="0.3">
      <c r="A9" t="s">
        <v>38</v>
      </c>
      <c r="B9" s="14" t="s">
        <v>36</v>
      </c>
      <c r="C9" s="15" t="s">
        <v>30</v>
      </c>
      <c r="D9" s="15" t="s">
        <v>41</v>
      </c>
      <c r="E9" s="15"/>
      <c r="F9" s="16"/>
    </row>
    <row r="11" spans="1:34" x14ac:dyDescent="0.25">
      <c r="A11" t="s">
        <v>6</v>
      </c>
      <c r="C11">
        <v>25</v>
      </c>
      <c r="D11">
        <v>24</v>
      </c>
      <c r="E11">
        <v>23</v>
      </c>
      <c r="F11" s="2">
        <v>22</v>
      </c>
      <c r="G11" s="2">
        <v>21</v>
      </c>
      <c r="H11">
        <v>20</v>
      </c>
      <c r="I11">
        <v>19</v>
      </c>
      <c r="J11">
        <v>18</v>
      </c>
      <c r="K11">
        <v>17</v>
      </c>
      <c r="L11">
        <v>16</v>
      </c>
      <c r="M11">
        <v>15</v>
      </c>
      <c r="N11">
        <v>14</v>
      </c>
      <c r="O11">
        <v>13</v>
      </c>
      <c r="P11">
        <v>12</v>
      </c>
      <c r="Q11">
        <v>11</v>
      </c>
      <c r="R11">
        <v>10</v>
      </c>
      <c r="S11">
        <v>9</v>
      </c>
      <c r="T11">
        <v>8</v>
      </c>
      <c r="U11">
        <v>7</v>
      </c>
      <c r="V11">
        <v>6</v>
      </c>
      <c r="W11">
        <v>5</v>
      </c>
      <c r="X11">
        <v>4</v>
      </c>
      <c r="Y11">
        <v>3</v>
      </c>
      <c r="Z11">
        <v>2</v>
      </c>
      <c r="AA11" s="2">
        <v>1</v>
      </c>
      <c r="AB11">
        <v>0</v>
      </c>
    </row>
    <row r="12" spans="1:34" x14ac:dyDescent="0.25">
      <c r="A12" t="s">
        <v>39</v>
      </c>
      <c r="C12" s="12">
        <f>_xlfn.BITAND(_xlfn.BITRSHIFT(HEX2DEC($B9), 26-COLUMN(B9)+1), 1)</f>
        <v>0</v>
      </c>
      <c r="D12" s="12">
        <f>_xlfn.BITAND(_xlfn.BITRSHIFT(HEX2DEC($B9), 26-COLUMN(C9)+1), 1)</f>
        <v>0</v>
      </c>
      <c r="E12" s="12">
        <f>_xlfn.BITAND(_xlfn.BITRSHIFT(HEX2DEC($B9), 26-COLUMN(D9)+1), 1)</f>
        <v>1</v>
      </c>
      <c r="F12" s="12">
        <f>_xlfn.BITAND(_xlfn.BITRSHIFT(HEX2DEC($B9), 26-COLUMN(E9)+1), 1)</f>
        <v>0</v>
      </c>
      <c r="G12" s="12">
        <f>_xlfn.BITAND(_xlfn.BITRSHIFT(HEX2DEC($B9), 26-COLUMN(F9)+1), 1)</f>
        <v>1</v>
      </c>
      <c r="H12" s="12">
        <f>_xlfn.BITAND(_xlfn.BITRSHIFT(HEX2DEC($B9), 26-COLUMN(G9)+1), 1)</f>
        <v>0</v>
      </c>
      <c r="I12" s="12">
        <f>_xlfn.BITAND(_xlfn.BITRSHIFT(HEX2DEC($B9), 26-COLUMN(H9)+1), 1)</f>
        <v>0</v>
      </c>
      <c r="J12" s="12">
        <f>_xlfn.BITAND(_xlfn.BITRSHIFT(HEX2DEC($B9), 26-COLUMN(I9)+1), 1)</f>
        <v>0</v>
      </c>
      <c r="K12" s="12">
        <f>_xlfn.BITAND(_xlfn.BITRSHIFT(HEX2DEC($B9), 26-COLUMN(J9)+1), 1)</f>
        <v>0</v>
      </c>
      <c r="L12" s="12">
        <f>_xlfn.BITAND(_xlfn.BITRSHIFT(HEX2DEC($B9), 26-COLUMN(K9)+1), 1)</f>
        <v>0</v>
      </c>
      <c r="M12" s="12">
        <f>_xlfn.BITAND(_xlfn.BITRSHIFT(HEX2DEC($B9), 26-COLUMN(L9)+1), 1)</f>
        <v>1</v>
      </c>
      <c r="N12" s="12">
        <f>_xlfn.BITAND(_xlfn.BITRSHIFT(HEX2DEC($B9), 26-COLUMN(M9)+1), 1)</f>
        <v>0</v>
      </c>
      <c r="O12" s="12">
        <f>_xlfn.BITAND(_xlfn.BITRSHIFT(HEX2DEC($B9), 26-COLUMN(N9)+1), 1)</f>
        <v>0</v>
      </c>
      <c r="P12" s="12">
        <f>_xlfn.BITAND(_xlfn.BITRSHIFT(HEX2DEC($B9), 26-COLUMN(O9)+1), 1)</f>
        <v>1</v>
      </c>
      <c r="Q12" s="12">
        <f>_xlfn.BITAND(_xlfn.BITRSHIFT(HEX2DEC($B9), 26-COLUMN(P9)+1), 1)</f>
        <v>0</v>
      </c>
      <c r="R12" s="12">
        <f>_xlfn.BITAND(_xlfn.BITRSHIFT(HEX2DEC($B9), 26-COLUMN(Q9)+1), 1)</f>
        <v>0</v>
      </c>
      <c r="S12" s="12">
        <f>_xlfn.BITAND(_xlfn.BITRSHIFT(HEX2DEC($B9), 26-COLUMN(R9)+1), 1)</f>
        <v>0</v>
      </c>
      <c r="T12" s="12">
        <f>_xlfn.BITAND(_xlfn.BITRSHIFT(HEX2DEC($B9), 26-COLUMN(S9)+1), 1)</f>
        <v>1</v>
      </c>
      <c r="U12" s="12">
        <f>_xlfn.BITAND(_xlfn.BITRSHIFT(HEX2DEC($B9), 26-COLUMN(T9)+1), 1)</f>
        <v>0</v>
      </c>
      <c r="V12" s="12">
        <f>_xlfn.BITAND(_xlfn.BITRSHIFT(HEX2DEC($B9), 26-COLUMN(U9)+1), 1)</f>
        <v>1</v>
      </c>
      <c r="W12" s="12">
        <f>_xlfn.BITAND(_xlfn.BITRSHIFT(HEX2DEC($B9), 26-COLUMN(V9)+1), 1)</f>
        <v>0</v>
      </c>
      <c r="X12" s="12">
        <f>_xlfn.BITAND(_xlfn.BITRSHIFT(HEX2DEC($B9), 26-COLUMN(W9)+1), 1)</f>
        <v>0</v>
      </c>
      <c r="Y12" s="12">
        <f>_xlfn.BITAND(_xlfn.BITRSHIFT(HEX2DEC($B9), 26-COLUMN(X9)+1), 1)</f>
        <v>1</v>
      </c>
      <c r="Z12" s="12">
        <f>_xlfn.BITAND(_xlfn.BITRSHIFT(HEX2DEC($B9), 26-COLUMN(Y9)+1), 1)</f>
        <v>0</v>
      </c>
      <c r="AA12" s="12">
        <f>_xlfn.BITAND(_xlfn.BITRSHIFT(HEX2DEC($B9), 26-COLUMN(Z9)+1), 1)</f>
        <v>1</v>
      </c>
      <c r="AB12" s="12">
        <f>_xlfn.BITAND(_xlfn.BITRSHIFT(HEX2DEC($B9), 26-COLUMN(AA9)+1), 1)</f>
        <v>0</v>
      </c>
      <c r="AC12" s="12"/>
      <c r="AD12" s="12"/>
      <c r="AE12" s="12"/>
      <c r="AF12" s="12"/>
      <c r="AG12" s="12"/>
      <c r="AH12" s="12"/>
    </row>
    <row r="14" spans="1:34" x14ac:dyDescent="0.25">
      <c r="A14" t="s">
        <v>35</v>
      </c>
      <c r="C14" s="12">
        <f t="shared" ref="C14:P14" si="0">C11</f>
        <v>25</v>
      </c>
      <c r="D14" s="12">
        <f t="shared" si="0"/>
        <v>24</v>
      </c>
      <c r="E14" s="12">
        <f t="shared" si="0"/>
        <v>23</v>
      </c>
      <c r="F14" s="12">
        <f t="shared" si="0"/>
        <v>22</v>
      </c>
      <c r="G14" s="12">
        <f t="shared" si="0"/>
        <v>21</v>
      </c>
      <c r="H14" s="12">
        <f t="shared" si="0"/>
        <v>20</v>
      </c>
      <c r="I14" s="12">
        <f t="shared" si="0"/>
        <v>19</v>
      </c>
      <c r="J14" s="12">
        <f t="shared" si="0"/>
        <v>18</v>
      </c>
      <c r="K14" s="12">
        <f t="shared" si="0"/>
        <v>17</v>
      </c>
      <c r="L14" s="12">
        <f t="shared" si="0"/>
        <v>16</v>
      </c>
      <c r="M14" s="12">
        <f t="shared" si="0"/>
        <v>15</v>
      </c>
      <c r="N14" s="12">
        <f t="shared" si="0"/>
        <v>14</v>
      </c>
      <c r="O14" s="12">
        <f t="shared" si="0"/>
        <v>13</v>
      </c>
      <c r="P14" s="12">
        <f t="shared" si="0"/>
        <v>12</v>
      </c>
      <c r="Q14" s="12">
        <f>Q11</f>
        <v>11</v>
      </c>
      <c r="R14" s="13"/>
      <c r="S14" s="12">
        <f t="shared" ref="S14:X14" si="1">R11</f>
        <v>10</v>
      </c>
      <c r="T14" s="12">
        <f t="shared" si="1"/>
        <v>9</v>
      </c>
      <c r="U14" s="12">
        <f t="shared" si="1"/>
        <v>8</v>
      </c>
      <c r="V14" s="12">
        <f t="shared" si="1"/>
        <v>7</v>
      </c>
      <c r="W14" s="12">
        <f t="shared" si="1"/>
        <v>6</v>
      </c>
      <c r="X14" s="12">
        <f t="shared" si="1"/>
        <v>5</v>
      </c>
      <c r="Y14" s="12">
        <f>X11</f>
        <v>4</v>
      </c>
      <c r="Z14" s="13"/>
      <c r="AA14" s="12">
        <f t="shared" ref="AA14:AB14" si="2">Y11</f>
        <v>3</v>
      </c>
      <c r="AB14" s="12">
        <f t="shared" si="2"/>
        <v>2</v>
      </c>
      <c r="AC14" s="12">
        <f>AA11</f>
        <v>1</v>
      </c>
      <c r="AD14" s="13"/>
      <c r="AE14" s="12">
        <f>AB11</f>
        <v>0</v>
      </c>
      <c r="AF14" s="13"/>
      <c r="AG14" s="13"/>
    </row>
    <row r="15" spans="1:34" x14ac:dyDescent="0.25">
      <c r="A15" t="s">
        <v>32</v>
      </c>
      <c r="C15">
        <v>31</v>
      </c>
      <c r="D15">
        <v>30</v>
      </c>
      <c r="E15">
        <v>29</v>
      </c>
      <c r="F15">
        <v>28</v>
      </c>
      <c r="G15">
        <v>27</v>
      </c>
      <c r="H15">
        <v>26</v>
      </c>
      <c r="I15">
        <v>25</v>
      </c>
      <c r="J15">
        <v>24</v>
      </c>
      <c r="K15">
        <v>23</v>
      </c>
      <c r="L15" s="2">
        <v>22</v>
      </c>
      <c r="M15" s="2">
        <v>21</v>
      </c>
      <c r="N15">
        <v>20</v>
      </c>
      <c r="O15">
        <v>19</v>
      </c>
      <c r="P15">
        <v>18</v>
      </c>
      <c r="Q15">
        <v>17</v>
      </c>
      <c r="R15" s="1">
        <v>16</v>
      </c>
      <c r="S15">
        <v>15</v>
      </c>
      <c r="T15">
        <v>14</v>
      </c>
      <c r="U15">
        <v>13</v>
      </c>
      <c r="V15">
        <v>12</v>
      </c>
      <c r="W15">
        <v>11</v>
      </c>
      <c r="X15">
        <v>10</v>
      </c>
      <c r="Y15">
        <v>9</v>
      </c>
      <c r="Z15" s="1">
        <v>8</v>
      </c>
      <c r="AA15">
        <v>7</v>
      </c>
      <c r="AB15">
        <v>6</v>
      </c>
      <c r="AC15">
        <v>5</v>
      </c>
      <c r="AD15" s="1">
        <v>4</v>
      </c>
      <c r="AE15">
        <v>3</v>
      </c>
      <c r="AF15" s="1">
        <v>2</v>
      </c>
      <c r="AG15" s="1">
        <v>1</v>
      </c>
      <c r="AH15" s="12"/>
    </row>
    <row r="16" spans="1:34" x14ac:dyDescent="0.25">
      <c r="A16" t="s">
        <v>40</v>
      </c>
      <c r="C16" s="12">
        <f>C12</f>
        <v>0</v>
      </c>
      <c r="D16" s="12">
        <f t="shared" ref="D16:P16" si="3">D12</f>
        <v>0</v>
      </c>
      <c r="E16" s="12">
        <f t="shared" si="3"/>
        <v>1</v>
      </c>
      <c r="F16" s="12">
        <f>F12</f>
        <v>0</v>
      </c>
      <c r="G16" s="12">
        <f t="shared" si="3"/>
        <v>1</v>
      </c>
      <c r="H16" s="12">
        <f t="shared" si="3"/>
        <v>0</v>
      </c>
      <c r="I16" s="12">
        <f t="shared" si="3"/>
        <v>0</v>
      </c>
      <c r="J16" s="12">
        <f t="shared" si="3"/>
        <v>0</v>
      </c>
      <c r="K16" s="12">
        <f t="shared" si="3"/>
        <v>0</v>
      </c>
      <c r="L16" s="12">
        <f t="shared" si="3"/>
        <v>0</v>
      </c>
      <c r="M16" s="12">
        <f t="shared" si="3"/>
        <v>1</v>
      </c>
      <c r="N16" s="12">
        <f t="shared" si="3"/>
        <v>0</v>
      </c>
      <c r="O16" s="12">
        <f>O12</f>
        <v>0</v>
      </c>
      <c r="P16" s="12">
        <f t="shared" si="3"/>
        <v>1</v>
      </c>
      <c r="Q16" s="12">
        <f>Q12</f>
        <v>0</v>
      </c>
      <c r="R16" s="13">
        <v>0</v>
      </c>
      <c r="S16" s="12">
        <f>R12</f>
        <v>0</v>
      </c>
      <c r="T16" s="12">
        <f t="shared" ref="T16:X16" si="4">S12</f>
        <v>0</v>
      </c>
      <c r="U16" s="12">
        <f t="shared" si="4"/>
        <v>1</v>
      </c>
      <c r="V16" s="12">
        <f t="shared" si="4"/>
        <v>0</v>
      </c>
      <c r="W16" s="12">
        <f t="shared" si="4"/>
        <v>1</v>
      </c>
      <c r="X16" s="12">
        <f t="shared" si="4"/>
        <v>0</v>
      </c>
      <c r="Y16" s="12">
        <f>X12</f>
        <v>0</v>
      </c>
      <c r="Z16" s="13">
        <v>0</v>
      </c>
      <c r="AA16" s="12">
        <f>Y12</f>
        <v>1</v>
      </c>
      <c r="AB16" s="12">
        <f t="shared" ref="AB16" si="5">Z12</f>
        <v>0</v>
      </c>
      <c r="AC16" s="12">
        <f>AA12</f>
        <v>1</v>
      </c>
      <c r="AD16" s="13">
        <v>0</v>
      </c>
      <c r="AE16" s="12">
        <f>AB12</f>
        <v>0</v>
      </c>
      <c r="AF16" s="13">
        <v>0</v>
      </c>
      <c r="AG16" s="13">
        <v>0</v>
      </c>
    </row>
    <row r="18" spans="1:34" x14ac:dyDescent="0.25">
      <c r="A18" t="s">
        <v>22</v>
      </c>
      <c r="C18">
        <f>_xlfn.BITAND(C$16,C2)</f>
        <v>0</v>
      </c>
      <c r="D18">
        <f>_xlfn.BITAND(D$16,D2)</f>
        <v>0</v>
      </c>
      <c r="E18">
        <f>_xlfn.BITAND(E$16,E2)</f>
        <v>1</v>
      </c>
      <c r="F18">
        <f>_xlfn.BITAND(F$16,F2)</f>
        <v>0</v>
      </c>
      <c r="G18">
        <f>_xlfn.BITAND(G$16,G2)</f>
        <v>1</v>
      </c>
      <c r="H18">
        <f>_xlfn.BITAND(H$16,H2)</f>
        <v>0</v>
      </c>
      <c r="I18">
        <f>_xlfn.BITAND(I$16,I2)</f>
        <v>0</v>
      </c>
      <c r="J18">
        <f>_xlfn.BITAND(J$16,J2)</f>
        <v>0</v>
      </c>
      <c r="K18">
        <f>_xlfn.BITAND(K$16,K2)</f>
        <v>0</v>
      </c>
      <c r="L18">
        <f>_xlfn.BITAND(L$16,L2)</f>
        <v>0</v>
      </c>
      <c r="M18">
        <f>_xlfn.BITAND(M$16,M2)</f>
        <v>1</v>
      </c>
      <c r="N18">
        <f>_xlfn.BITAND(N$16,N2)</f>
        <v>0</v>
      </c>
      <c r="O18">
        <f>_xlfn.BITAND(O$16,O2)</f>
        <v>0</v>
      </c>
      <c r="P18">
        <f>_xlfn.BITAND(P$16,P2)</f>
        <v>0</v>
      </c>
      <c r="Q18">
        <f>_xlfn.BITAND(Q$16,Q2)</f>
        <v>0</v>
      </c>
      <c r="R18" s="1">
        <f>_xlfn.BITAND(R$16,R2)</f>
        <v>0</v>
      </c>
      <c r="S18">
        <f>_xlfn.BITAND(S$16,S2)</f>
        <v>0</v>
      </c>
      <c r="T18">
        <f>_xlfn.BITAND(T$16,T2)</f>
        <v>0</v>
      </c>
      <c r="U18">
        <f>_xlfn.BITAND(U$16,U2)</f>
        <v>1</v>
      </c>
      <c r="V18">
        <f>_xlfn.BITAND(V$16,V2)</f>
        <v>0</v>
      </c>
      <c r="W18">
        <f>_xlfn.BITAND(W$16,W2)</f>
        <v>1</v>
      </c>
      <c r="X18">
        <f>_xlfn.BITAND(X$16,X2)</f>
        <v>0</v>
      </c>
      <c r="Y18">
        <f>_xlfn.BITAND(Y$16,Y2)</f>
        <v>0</v>
      </c>
      <c r="Z18" s="1">
        <f>_xlfn.BITAND(Z$16,Z2)</f>
        <v>0</v>
      </c>
      <c r="AA18">
        <f>_xlfn.BITAND(AA$16,AA2)</f>
        <v>1</v>
      </c>
      <c r="AB18">
        <f>_xlfn.BITAND(AB$16,AB2)</f>
        <v>0</v>
      </c>
      <c r="AC18">
        <f>_xlfn.BITAND(AC$16,AC2)</f>
        <v>1</v>
      </c>
      <c r="AD18" s="1">
        <f>_xlfn.BITAND(AD$16,AD2)</f>
        <v>0</v>
      </c>
      <c r="AE18">
        <f>_xlfn.BITAND(AE$16,AE2)</f>
        <v>0</v>
      </c>
      <c r="AF18" s="1">
        <f>_xlfn.BITAND(AF$16,AF2)</f>
        <v>0</v>
      </c>
      <c r="AG18" s="1">
        <f>_xlfn.BITAND(AG$16,AG2)</f>
        <v>0</v>
      </c>
    </row>
    <row r="19" spans="1:34" x14ac:dyDescent="0.25">
      <c r="A19" t="s">
        <v>23</v>
      </c>
      <c r="C19">
        <f>_xlfn.BITAND(C$16,C3)</f>
        <v>0</v>
      </c>
      <c r="D19">
        <f>_xlfn.BITAND(D$16,D3)</f>
        <v>0</v>
      </c>
      <c r="E19">
        <f>_xlfn.BITAND(E$16,E3)</f>
        <v>0</v>
      </c>
      <c r="F19">
        <f>_xlfn.BITAND(F$16,F3)</f>
        <v>0</v>
      </c>
      <c r="G19">
        <f>_xlfn.BITAND(G$16,G3)</f>
        <v>1</v>
      </c>
      <c r="H19">
        <f>_xlfn.BITAND(H$16,H3)</f>
        <v>0</v>
      </c>
      <c r="I19">
        <f>_xlfn.BITAND(I$16,I3)</f>
        <v>0</v>
      </c>
      <c r="J19">
        <f>_xlfn.BITAND(J$16,J3)</f>
        <v>0</v>
      </c>
      <c r="K19">
        <f>_xlfn.BITAND(K$16,K3)</f>
        <v>0</v>
      </c>
      <c r="L19">
        <f>_xlfn.BITAND(L$16,L3)</f>
        <v>0</v>
      </c>
      <c r="M19">
        <f>_xlfn.BITAND(M$16,M3)</f>
        <v>0</v>
      </c>
      <c r="N19">
        <f>_xlfn.BITAND(N$16,N3)</f>
        <v>0</v>
      </c>
      <c r="O19">
        <f>_xlfn.BITAND(O$16,O3)</f>
        <v>0</v>
      </c>
      <c r="P19">
        <f>_xlfn.BITAND(P$16,P3)</f>
        <v>1</v>
      </c>
      <c r="Q19">
        <f>_xlfn.BITAND(Q$16,Q3)</f>
        <v>0</v>
      </c>
      <c r="R19" s="1">
        <f>_xlfn.BITAND(R$16,R3)</f>
        <v>0</v>
      </c>
      <c r="S19">
        <f>_xlfn.BITAND(S$16,S3)</f>
        <v>0</v>
      </c>
      <c r="T19">
        <f>_xlfn.BITAND(T$16,T3)</f>
        <v>0</v>
      </c>
      <c r="U19">
        <f>_xlfn.BITAND(U$16,U3)</f>
        <v>0</v>
      </c>
      <c r="V19">
        <f>_xlfn.BITAND(V$16,V3)</f>
        <v>0</v>
      </c>
      <c r="W19">
        <f>_xlfn.BITAND(W$16,W3)</f>
        <v>1</v>
      </c>
      <c r="X19">
        <f>_xlfn.BITAND(X$16,X3)</f>
        <v>0</v>
      </c>
      <c r="Y19">
        <f>_xlfn.BITAND(Y$16,Y3)</f>
        <v>0</v>
      </c>
      <c r="Z19" s="1">
        <f>_xlfn.BITAND(Z$16,Z3)</f>
        <v>0</v>
      </c>
      <c r="AA19">
        <f>_xlfn.BITAND(AA$16,AA3)</f>
        <v>1</v>
      </c>
      <c r="AB19">
        <f>_xlfn.BITAND(AB$16,AB3)</f>
        <v>0</v>
      </c>
      <c r="AC19">
        <f>_xlfn.BITAND(AC$16,AC3)</f>
        <v>0</v>
      </c>
      <c r="AD19" s="1">
        <f>_xlfn.BITAND(AD$16,AD3)</f>
        <v>0</v>
      </c>
      <c r="AE19">
        <f>_xlfn.BITAND(AE$16,AE3)</f>
        <v>0</v>
      </c>
      <c r="AF19" s="1">
        <f>_xlfn.BITAND(AF$16,AF3)</f>
        <v>0</v>
      </c>
      <c r="AG19" s="1">
        <f>_xlfn.BITAND(AG$16,AG3)</f>
        <v>0</v>
      </c>
    </row>
    <row r="20" spans="1:34" x14ac:dyDescent="0.25">
      <c r="A20" t="s">
        <v>24</v>
      </c>
      <c r="C20">
        <f>_xlfn.BITAND(C$16,C4)</f>
        <v>0</v>
      </c>
      <c r="D20">
        <f>_xlfn.BITAND(D$16,D4)</f>
        <v>0</v>
      </c>
      <c r="E20">
        <f>_xlfn.BITAND(E$16,E4)</f>
        <v>1</v>
      </c>
      <c r="F20">
        <f>_xlfn.BITAND(F$16,F4)</f>
        <v>0</v>
      </c>
      <c r="G20">
        <f>_xlfn.BITAND(G$16,G4)</f>
        <v>0</v>
      </c>
      <c r="H20">
        <f>_xlfn.BITAND(H$16,H4)</f>
        <v>0</v>
      </c>
      <c r="I20">
        <f>_xlfn.BITAND(I$16,I4)</f>
        <v>0</v>
      </c>
      <c r="J20">
        <f>_xlfn.BITAND(J$16,J4)</f>
        <v>0</v>
      </c>
      <c r="K20">
        <f>_xlfn.BITAND(K$16,K4)</f>
        <v>0</v>
      </c>
      <c r="L20">
        <f>_xlfn.BITAND(L$16,L4)</f>
        <v>0</v>
      </c>
      <c r="M20">
        <f>_xlfn.BITAND(M$16,M4)</f>
        <v>1</v>
      </c>
      <c r="N20">
        <f>_xlfn.BITAND(N$16,N4)</f>
        <v>0</v>
      </c>
      <c r="O20">
        <f>_xlfn.BITAND(O$16,O4)</f>
        <v>0</v>
      </c>
      <c r="P20">
        <f>_xlfn.BITAND(P$16,P4)</f>
        <v>0</v>
      </c>
      <c r="Q20">
        <f>_xlfn.BITAND(Q$16,Q4)</f>
        <v>0</v>
      </c>
      <c r="R20" s="1">
        <f>_xlfn.BITAND(R$16,R4)</f>
        <v>0</v>
      </c>
      <c r="S20">
        <f>_xlfn.BITAND(S$16,S4)</f>
        <v>0</v>
      </c>
      <c r="T20">
        <f>_xlfn.BITAND(T$16,T4)</f>
        <v>0</v>
      </c>
      <c r="U20">
        <f>_xlfn.BITAND(U$16,U4)</f>
        <v>1</v>
      </c>
      <c r="V20">
        <f>_xlfn.BITAND(V$16,V4)</f>
        <v>0</v>
      </c>
      <c r="W20">
        <f>_xlfn.BITAND(W$16,W4)</f>
        <v>0</v>
      </c>
      <c r="X20">
        <f>_xlfn.BITAND(X$16,X4)</f>
        <v>0</v>
      </c>
      <c r="Y20">
        <f>_xlfn.BITAND(Y$16,Y4)</f>
        <v>0</v>
      </c>
      <c r="Z20" s="1">
        <f>_xlfn.BITAND(Z$16,Z4)</f>
        <v>0</v>
      </c>
      <c r="AA20">
        <f>_xlfn.BITAND(AA$16,AA4)</f>
        <v>1</v>
      </c>
      <c r="AB20">
        <f>_xlfn.BITAND(AB$16,AB4)</f>
        <v>0</v>
      </c>
      <c r="AC20">
        <f>_xlfn.BITAND(AC$16,AC4)</f>
        <v>1</v>
      </c>
      <c r="AD20" s="1">
        <f>_xlfn.BITAND(AD$16,AD4)</f>
        <v>0</v>
      </c>
      <c r="AE20">
        <f>_xlfn.BITAND(AE$16,AE4)</f>
        <v>0</v>
      </c>
      <c r="AF20" s="1">
        <f>_xlfn.BITAND(AF$16,AF4)</f>
        <v>0</v>
      </c>
      <c r="AG20" s="1">
        <f>_xlfn.BITAND(AG$16,AG4)</f>
        <v>0</v>
      </c>
    </row>
    <row r="21" spans="1:34" x14ac:dyDescent="0.25">
      <c r="A21" t="s">
        <v>25</v>
      </c>
      <c r="C21">
        <f>_xlfn.BITAND(C$16,C5)</f>
        <v>0</v>
      </c>
      <c r="D21">
        <f>_xlfn.BITAND(D$16,D5)</f>
        <v>0</v>
      </c>
      <c r="E21">
        <f>_xlfn.BITAND(E$16,E5)</f>
        <v>1</v>
      </c>
      <c r="F21">
        <f>_xlfn.BITAND(F$16,F5)</f>
        <v>0</v>
      </c>
      <c r="G21">
        <f>_xlfn.BITAND(G$16,G5)</f>
        <v>1</v>
      </c>
      <c r="H21">
        <f>_xlfn.BITAND(H$16,H5)</f>
        <v>0</v>
      </c>
      <c r="I21">
        <f>_xlfn.BITAND(I$16,I5)</f>
        <v>0</v>
      </c>
      <c r="J21">
        <f>_xlfn.BITAND(J$16,J5)</f>
        <v>0</v>
      </c>
      <c r="K21">
        <f>_xlfn.BITAND(K$16,K5)</f>
        <v>0</v>
      </c>
      <c r="L21">
        <f>_xlfn.BITAND(L$16,L5)</f>
        <v>0</v>
      </c>
      <c r="M21">
        <f>_xlfn.BITAND(M$16,M5)</f>
        <v>0</v>
      </c>
      <c r="N21">
        <f>_xlfn.BITAND(N$16,N5)</f>
        <v>0</v>
      </c>
      <c r="O21">
        <f>_xlfn.BITAND(O$16,O5)</f>
        <v>0</v>
      </c>
      <c r="P21">
        <f>_xlfn.BITAND(P$16,P5)</f>
        <v>0</v>
      </c>
      <c r="Q21">
        <f>_xlfn.BITAND(Q$16,Q5)</f>
        <v>0</v>
      </c>
      <c r="R21" s="1">
        <f>_xlfn.BITAND(R$16,R5)</f>
        <v>0</v>
      </c>
      <c r="S21">
        <f>_xlfn.BITAND(S$16,S5)</f>
        <v>0</v>
      </c>
      <c r="T21">
        <f>_xlfn.BITAND(T$16,T5)</f>
        <v>0</v>
      </c>
      <c r="U21">
        <f>_xlfn.BITAND(U$16,U5)</f>
        <v>1</v>
      </c>
      <c r="V21">
        <f>_xlfn.BITAND(V$16,V5)</f>
        <v>0</v>
      </c>
      <c r="W21">
        <f>_xlfn.BITAND(W$16,W5)</f>
        <v>1</v>
      </c>
      <c r="X21">
        <f>_xlfn.BITAND(X$16,X5)</f>
        <v>0</v>
      </c>
      <c r="Y21">
        <f>_xlfn.BITAND(Y$16,Y5)</f>
        <v>0</v>
      </c>
      <c r="Z21" s="1">
        <f>_xlfn.BITAND(Z$16,Z5)</f>
        <v>0</v>
      </c>
      <c r="AA21">
        <f>_xlfn.BITAND(AA$16,AA5)</f>
        <v>0</v>
      </c>
      <c r="AB21">
        <f>_xlfn.BITAND(AB$16,AB5)</f>
        <v>0</v>
      </c>
      <c r="AC21">
        <f>_xlfn.BITAND(AC$16,AC5)</f>
        <v>0</v>
      </c>
      <c r="AD21" s="1">
        <f>_xlfn.BITAND(AD$16,AD5)</f>
        <v>0</v>
      </c>
      <c r="AE21">
        <f>_xlfn.BITAND(AE$16,AE5)</f>
        <v>0</v>
      </c>
      <c r="AF21" s="1">
        <f>_xlfn.BITAND(AF$16,AF5)</f>
        <v>0</v>
      </c>
      <c r="AG21" s="1">
        <f>_xlfn.BITAND(AG$16,AG5)</f>
        <v>0</v>
      </c>
    </row>
    <row r="22" spans="1:34" x14ac:dyDescent="0.25">
      <c r="A22" t="s">
        <v>26</v>
      </c>
      <c r="C22">
        <f>_xlfn.BITAND(C$16,C6)</f>
        <v>0</v>
      </c>
      <c r="D22">
        <f>_xlfn.BITAND(D$16,D6)</f>
        <v>0</v>
      </c>
      <c r="E22">
        <f>_xlfn.BITAND(E$16,E6)</f>
        <v>1</v>
      </c>
      <c r="F22">
        <f>_xlfn.BITAND(F$16,F6)</f>
        <v>0</v>
      </c>
      <c r="G22">
        <f>_xlfn.BITAND(G$16,G6)</f>
        <v>1</v>
      </c>
      <c r="H22">
        <f>_xlfn.BITAND(H$16,H6)</f>
        <v>0</v>
      </c>
      <c r="I22">
        <f>_xlfn.BITAND(I$16,I6)</f>
        <v>0</v>
      </c>
      <c r="J22">
        <f>_xlfn.BITAND(J$16,J6)</f>
        <v>0</v>
      </c>
      <c r="K22">
        <f>_xlfn.BITAND(K$16,K6)</f>
        <v>0</v>
      </c>
      <c r="L22">
        <f>_xlfn.BITAND(L$16,L6)</f>
        <v>0</v>
      </c>
      <c r="M22">
        <f>_xlfn.BITAND(M$16,M6)</f>
        <v>1</v>
      </c>
      <c r="N22">
        <f>_xlfn.BITAND(N$16,N6)</f>
        <v>0</v>
      </c>
      <c r="O22">
        <f>_xlfn.BITAND(O$16,O6)</f>
        <v>0</v>
      </c>
      <c r="P22">
        <f>_xlfn.BITAND(P$16,P6)</f>
        <v>1</v>
      </c>
      <c r="Q22">
        <f>_xlfn.BITAND(Q$16,Q6)</f>
        <v>0</v>
      </c>
      <c r="R22" s="1">
        <f>_xlfn.BITAND(R$16,R6)</f>
        <v>0</v>
      </c>
      <c r="S22">
        <f>_xlfn.BITAND(S$16,S6)</f>
        <v>0</v>
      </c>
      <c r="T22">
        <f>_xlfn.BITAND(T$16,T6)</f>
        <v>0</v>
      </c>
      <c r="U22">
        <f>_xlfn.BITAND(U$16,U6)</f>
        <v>0</v>
      </c>
      <c r="V22">
        <f>_xlfn.BITAND(V$16,V6)</f>
        <v>0</v>
      </c>
      <c r="W22">
        <f>_xlfn.BITAND(W$16,W6)</f>
        <v>0</v>
      </c>
      <c r="X22">
        <f>_xlfn.BITAND(X$16,X6)</f>
        <v>0</v>
      </c>
      <c r="Y22">
        <f>_xlfn.BITAND(Y$16,Y6)</f>
        <v>0</v>
      </c>
      <c r="Z22" s="1">
        <f>_xlfn.BITAND(Z$16,Z6)</f>
        <v>0</v>
      </c>
      <c r="AA22">
        <f>_xlfn.BITAND(AA$16,AA6)</f>
        <v>0</v>
      </c>
      <c r="AB22">
        <f>_xlfn.BITAND(AB$16,AB6)</f>
        <v>0</v>
      </c>
      <c r="AC22">
        <f>_xlfn.BITAND(AC$16,AC6)</f>
        <v>0</v>
      </c>
      <c r="AD22" s="1">
        <f>_xlfn.BITAND(AD$16,AD6)</f>
        <v>0</v>
      </c>
      <c r="AE22">
        <f>_xlfn.BITAND(AE$16,AE6)</f>
        <v>0</v>
      </c>
      <c r="AF22" s="1">
        <f>_xlfn.BITAND(AF$16,AF6)</f>
        <v>0</v>
      </c>
      <c r="AG22" s="1">
        <f>_xlfn.BITAND(AG$16,AG6)</f>
        <v>0</v>
      </c>
    </row>
    <row r="24" spans="1:34" x14ac:dyDescent="0.25">
      <c r="A24" t="s">
        <v>1</v>
      </c>
      <c r="C24">
        <v>4</v>
      </c>
      <c r="D24">
        <v>3</v>
      </c>
      <c r="E24">
        <v>2</v>
      </c>
      <c r="F24">
        <v>1</v>
      </c>
      <c r="G24">
        <v>0</v>
      </c>
    </row>
    <row r="25" spans="1:34" x14ac:dyDescent="0.25">
      <c r="A25" t="s">
        <v>3</v>
      </c>
      <c r="C25">
        <f>IF(ISEVEN(SUM(C22:AG22)),0,1)</f>
        <v>0</v>
      </c>
      <c r="D25">
        <f>IF(ISEVEN(SUM(C21:AG21)),0,1)</f>
        <v>0</v>
      </c>
      <c r="E25">
        <f>IF(ISEVEN(SUM(C20:AG20)),0,1)</f>
        <v>1</v>
      </c>
      <c r="F25">
        <f>IF(ISEVEN(SUM(C19:AG19)),0,1)</f>
        <v>0</v>
      </c>
      <c r="G25">
        <f>IF(ISEVEN(SUM(C18:AG18)),0,1)</f>
        <v>1</v>
      </c>
    </row>
    <row r="27" spans="1:34" x14ac:dyDescent="0.25">
      <c r="A27" t="s">
        <v>27</v>
      </c>
      <c r="C27">
        <f>IF(ISEVEN(SUM(SUM(C12:AB12),SUM(C25:G25))),0,1)</f>
        <v>0</v>
      </c>
    </row>
    <row r="28" spans="1:34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 spans="1:34" x14ac:dyDescent="0.25">
      <c r="A29" s="18" t="s">
        <v>37</v>
      </c>
      <c r="B29" s="18" t="str">
        <f>DEC2HEX(SUM(C72:AH72))</f>
        <v>28A0914A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spans="1:34" ht="15.75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2" spans="1:34" ht="15.75" thickBot="1" x14ac:dyDescent="0.3">
      <c r="A32" s="17" t="s">
        <v>43</v>
      </c>
    </row>
    <row r="33" spans="1:39" ht="15.75" thickBot="1" x14ac:dyDescent="0.3">
      <c r="A33" t="s">
        <v>12</v>
      </c>
      <c r="B33" s="14" t="s">
        <v>0</v>
      </c>
      <c r="C33" s="15" t="s">
        <v>30</v>
      </c>
      <c r="D33" s="15" t="s">
        <v>31</v>
      </c>
      <c r="E33" s="15"/>
      <c r="F33" s="16"/>
    </row>
    <row r="34" spans="1:39" x14ac:dyDescent="0.25">
      <c r="A34" t="s">
        <v>15</v>
      </c>
      <c r="B34" t="str">
        <f>DEC2HEX(SUM(C75:AH75))</f>
        <v>28A0B14A</v>
      </c>
    </row>
    <row r="36" spans="1:39" x14ac:dyDescent="0.25">
      <c r="C36" s="11" t="s">
        <v>19</v>
      </c>
      <c r="D36" s="11"/>
      <c r="E36" s="11"/>
      <c r="F36" s="11"/>
      <c r="G36" s="11"/>
      <c r="H36" s="7" t="s">
        <v>18</v>
      </c>
      <c r="I36" s="10" t="s">
        <v>17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9" x14ac:dyDescent="0.25">
      <c r="A37" t="s">
        <v>6</v>
      </c>
      <c r="C37">
        <v>31</v>
      </c>
      <c r="D37">
        <v>30</v>
      </c>
      <c r="E37">
        <v>29</v>
      </c>
      <c r="F37">
        <v>28</v>
      </c>
      <c r="G37">
        <v>27</v>
      </c>
      <c r="H37">
        <v>26</v>
      </c>
      <c r="I37">
        <v>25</v>
      </c>
      <c r="J37">
        <v>24</v>
      </c>
      <c r="K37">
        <v>23</v>
      </c>
      <c r="L37" s="2">
        <v>22</v>
      </c>
      <c r="M37" s="2">
        <v>21</v>
      </c>
      <c r="N37">
        <v>20</v>
      </c>
      <c r="O37">
        <v>19</v>
      </c>
      <c r="P37">
        <v>18</v>
      </c>
      <c r="Q37">
        <v>17</v>
      </c>
      <c r="R37">
        <v>16</v>
      </c>
      <c r="S37">
        <v>15</v>
      </c>
      <c r="T37">
        <v>14</v>
      </c>
      <c r="U37">
        <v>13</v>
      </c>
      <c r="V37">
        <v>12</v>
      </c>
      <c r="W37">
        <v>11</v>
      </c>
      <c r="X37">
        <v>10</v>
      </c>
      <c r="Y37">
        <v>9</v>
      </c>
      <c r="Z37">
        <v>8</v>
      </c>
      <c r="AA37">
        <v>7</v>
      </c>
      <c r="AB37">
        <v>6</v>
      </c>
      <c r="AC37">
        <v>5</v>
      </c>
      <c r="AD37">
        <v>4</v>
      </c>
      <c r="AE37">
        <v>3</v>
      </c>
      <c r="AF37">
        <v>2</v>
      </c>
      <c r="AG37" s="2">
        <v>1</v>
      </c>
      <c r="AH37">
        <v>0</v>
      </c>
    </row>
    <row r="38" spans="1:39" x14ac:dyDescent="0.25">
      <c r="A38" t="s">
        <v>14</v>
      </c>
      <c r="C38" s="3">
        <f>_xlfn.BITAND(_xlfn.BITRSHIFT(HEX2DEC($B33), 32-COLUMN(B33)+1), 1)</f>
        <v>0</v>
      </c>
      <c r="D38" s="3">
        <f>_xlfn.BITAND(_xlfn.BITRSHIFT(HEX2DEC($B33), 32-COLUMN(C33)+1), 1)</f>
        <v>0</v>
      </c>
      <c r="E38" s="3">
        <f>_xlfn.BITAND(_xlfn.BITRSHIFT(HEX2DEC($B33), 32-COLUMN(D33)+1), 1)</f>
        <v>1</v>
      </c>
      <c r="F38" s="3">
        <f>_xlfn.BITAND(_xlfn.BITRSHIFT(HEX2DEC($B33), 32-COLUMN(E33)+1), 1)</f>
        <v>0</v>
      </c>
      <c r="G38" s="3">
        <f>_xlfn.BITAND(_xlfn.BITRSHIFT(HEX2DEC($B33), 32-COLUMN(F33)+1), 1)</f>
        <v>1</v>
      </c>
      <c r="H38" s="8">
        <f>_xlfn.BITAND(_xlfn.BITRSHIFT(HEX2DEC($B33), 32-COLUMN(G33)+1), 1)</f>
        <v>0</v>
      </c>
      <c r="I38" s="5">
        <f>_xlfn.BITAND(_xlfn.BITRSHIFT(HEX2DEC($B33), 32-COLUMN(H33)+1), 1)</f>
        <v>0</v>
      </c>
      <c r="J38" s="5">
        <f>_xlfn.BITAND(_xlfn.BITRSHIFT(HEX2DEC($B33), 32-COLUMN(I33)+1), 1)</f>
        <v>0</v>
      </c>
      <c r="K38" s="5">
        <f>_xlfn.BITAND(_xlfn.BITRSHIFT(HEX2DEC($B33), 32-COLUMN(J33)+1), 1)</f>
        <v>1</v>
      </c>
      <c r="L38" s="5">
        <f>_xlfn.BITAND(_xlfn.BITRSHIFT(HEX2DEC($B33), 32-COLUMN(K33)+1), 1)</f>
        <v>0</v>
      </c>
      <c r="M38" s="5">
        <f>_xlfn.BITAND(_xlfn.BITRSHIFT(HEX2DEC($B33), 32-COLUMN(L33)+1), 1)</f>
        <v>1</v>
      </c>
      <c r="N38" s="5">
        <f>_xlfn.BITAND(_xlfn.BITRSHIFT(HEX2DEC($B33), 32-COLUMN(M33)+1), 1)</f>
        <v>0</v>
      </c>
      <c r="O38" s="5">
        <f>_xlfn.BITAND(_xlfn.BITRSHIFT(HEX2DEC($B33), 32-COLUMN(N33)+1), 1)</f>
        <v>0</v>
      </c>
      <c r="P38" s="5">
        <f>_xlfn.BITAND(_xlfn.BITRSHIFT(HEX2DEC($B33), 32-COLUMN(O33)+1), 1)</f>
        <v>0</v>
      </c>
      <c r="Q38" s="5">
        <f>_xlfn.BITAND(_xlfn.BITRSHIFT(HEX2DEC($B33), 32-COLUMN(P33)+1), 1)</f>
        <v>0</v>
      </c>
      <c r="R38" s="5">
        <f>_xlfn.BITAND(_xlfn.BITRSHIFT(HEX2DEC($B33), 32-COLUMN(Q33)+1), 1)</f>
        <v>0</v>
      </c>
      <c r="S38" s="5">
        <f>_xlfn.BITAND(_xlfn.BITRSHIFT(HEX2DEC($B33), 32-COLUMN(R33)+1), 1)</f>
        <v>1</v>
      </c>
      <c r="T38" s="5">
        <f>_xlfn.BITAND(_xlfn.BITRSHIFT(HEX2DEC($B33), 32-COLUMN(S33)+1), 1)</f>
        <v>0</v>
      </c>
      <c r="U38" s="5">
        <f>_xlfn.BITAND(_xlfn.BITRSHIFT(HEX2DEC($B33), 32-COLUMN(T33)+1), 1)</f>
        <v>0</v>
      </c>
      <c r="V38" s="5">
        <f>_xlfn.BITAND(_xlfn.BITRSHIFT(HEX2DEC($B33), 32-COLUMN(U33)+1), 1)</f>
        <v>1</v>
      </c>
      <c r="W38" s="5">
        <f>_xlfn.BITAND(_xlfn.BITRSHIFT(HEX2DEC($B33), 32-COLUMN(V33)+1), 1)</f>
        <v>0</v>
      </c>
      <c r="X38" s="5">
        <f>_xlfn.BITAND(_xlfn.BITRSHIFT(HEX2DEC($B33), 32-COLUMN(W33)+1), 1)</f>
        <v>0</v>
      </c>
      <c r="Y38" s="5">
        <f>_xlfn.BITAND(_xlfn.BITRSHIFT(HEX2DEC($B33), 32-COLUMN(X33)+1), 1)</f>
        <v>0</v>
      </c>
      <c r="Z38" s="5">
        <f>_xlfn.BITAND(_xlfn.BITRSHIFT(HEX2DEC($B33), 32-COLUMN(Y33)+1), 1)</f>
        <v>1</v>
      </c>
      <c r="AA38" s="5">
        <f>_xlfn.BITAND(_xlfn.BITRSHIFT(HEX2DEC($B33), 32-COLUMN(Z33)+1), 1)</f>
        <v>0</v>
      </c>
      <c r="AB38" s="5">
        <f>_xlfn.BITAND(_xlfn.BITRSHIFT(HEX2DEC($B33), 32-COLUMN(AA33)+1), 1)</f>
        <v>1</v>
      </c>
      <c r="AC38" s="5">
        <f>_xlfn.BITAND(_xlfn.BITRSHIFT(HEX2DEC($B33), 32-COLUMN(AB33)+1), 1)</f>
        <v>0</v>
      </c>
      <c r="AD38" s="5">
        <f>_xlfn.BITAND(_xlfn.BITRSHIFT(HEX2DEC($B33), 32-COLUMN(AC33)+1), 1)</f>
        <v>0</v>
      </c>
      <c r="AE38" s="5">
        <f>_xlfn.BITAND(_xlfn.BITRSHIFT(HEX2DEC($B33), 32-COLUMN(AD33)+1), 1)</f>
        <v>1</v>
      </c>
      <c r="AF38" s="5">
        <f>_xlfn.BITAND(_xlfn.BITRSHIFT(HEX2DEC($B33), 32-COLUMN(AE33)+1), 1)</f>
        <v>0</v>
      </c>
      <c r="AG38" s="5">
        <f>_xlfn.BITAND(_xlfn.BITRSHIFT(HEX2DEC($B33), 32-COLUMN(AF33)+1), 1)</f>
        <v>1</v>
      </c>
      <c r="AH38" s="5">
        <f>_xlfn.BITAND(_xlfn.BITRSHIFT(HEX2DEC($B33), 32-COLUMN(AG33)+1), 1)</f>
        <v>0</v>
      </c>
    </row>
    <row r="39" spans="1:39" ht="15.75" thickBot="1" x14ac:dyDescent="0.3">
      <c r="A39" t="s">
        <v>13</v>
      </c>
      <c r="C39" s="4">
        <f t="shared" ref="C39:AG39" si="6">_xlfn.BITXOR(C38,C40)</f>
        <v>0</v>
      </c>
      <c r="D39" s="4">
        <f t="shared" si="6"/>
        <v>0</v>
      </c>
      <c r="E39" s="4">
        <f t="shared" si="6"/>
        <v>1</v>
      </c>
      <c r="F39" s="4">
        <f t="shared" si="6"/>
        <v>0</v>
      </c>
      <c r="G39" s="4">
        <f t="shared" si="6"/>
        <v>1</v>
      </c>
      <c r="H39" s="9">
        <f t="shared" si="6"/>
        <v>0</v>
      </c>
      <c r="I39" s="6">
        <f t="shared" si="6"/>
        <v>0</v>
      </c>
      <c r="J39" s="6">
        <f t="shared" si="6"/>
        <v>0</v>
      </c>
      <c r="K39" s="6">
        <f t="shared" si="6"/>
        <v>1</v>
      </c>
      <c r="L39" s="6">
        <f t="shared" si="6"/>
        <v>0</v>
      </c>
      <c r="M39" s="6">
        <f t="shared" si="6"/>
        <v>1</v>
      </c>
      <c r="N39" s="6">
        <f t="shared" si="6"/>
        <v>0</v>
      </c>
      <c r="O39" s="6">
        <f t="shared" si="6"/>
        <v>0</v>
      </c>
      <c r="P39" s="6">
        <f t="shared" si="6"/>
        <v>0</v>
      </c>
      <c r="Q39" s="6">
        <f t="shared" si="6"/>
        <v>0</v>
      </c>
      <c r="R39" s="6">
        <f t="shared" si="6"/>
        <v>0</v>
      </c>
      <c r="S39" s="6">
        <f t="shared" si="6"/>
        <v>1</v>
      </c>
      <c r="T39" s="6">
        <f t="shared" si="6"/>
        <v>0</v>
      </c>
      <c r="U39" s="6">
        <f t="shared" si="6"/>
        <v>1</v>
      </c>
      <c r="V39" s="6">
        <f t="shared" si="6"/>
        <v>1</v>
      </c>
      <c r="W39" s="6">
        <f t="shared" si="6"/>
        <v>0</v>
      </c>
      <c r="X39" s="6">
        <f t="shared" si="6"/>
        <v>0</v>
      </c>
      <c r="Y39" s="6">
        <f t="shared" si="6"/>
        <v>0</v>
      </c>
      <c r="Z39" s="6">
        <f t="shared" si="6"/>
        <v>1</v>
      </c>
      <c r="AA39" s="6">
        <f t="shared" si="6"/>
        <v>0</v>
      </c>
      <c r="AB39" s="6">
        <f t="shared" si="6"/>
        <v>1</v>
      </c>
      <c r="AC39" s="6">
        <f t="shared" si="6"/>
        <v>0</v>
      </c>
      <c r="AD39" s="6">
        <f t="shared" si="6"/>
        <v>0</v>
      </c>
      <c r="AE39" s="6">
        <f t="shared" si="6"/>
        <v>1</v>
      </c>
      <c r="AF39" s="6">
        <f t="shared" si="6"/>
        <v>0</v>
      </c>
      <c r="AG39" s="6">
        <f t="shared" si="6"/>
        <v>1</v>
      </c>
      <c r="AH39" s="6">
        <f>_xlfn.BITXOR(AH38,AH40)</f>
        <v>0</v>
      </c>
    </row>
    <row r="40" spans="1:39" ht="15.75" thickBot="1" x14ac:dyDescent="0.3">
      <c r="A40" t="s">
        <v>16</v>
      </c>
      <c r="C40" s="14">
        <f>0</f>
        <v>0</v>
      </c>
      <c r="D40" s="15">
        <f>0</f>
        <v>0</v>
      </c>
      <c r="E40" s="15">
        <v>0</v>
      </c>
      <c r="F40" s="15">
        <f>0</f>
        <v>0</v>
      </c>
      <c r="G40" s="15">
        <f>0</f>
        <v>0</v>
      </c>
      <c r="H40" s="15"/>
      <c r="I40" s="15">
        <f>0</f>
        <v>0</v>
      </c>
      <c r="J40" s="15">
        <f>0</f>
        <v>0</v>
      </c>
      <c r="K40" s="15">
        <f>0</f>
        <v>0</v>
      </c>
      <c r="L40" s="15">
        <f>0</f>
        <v>0</v>
      </c>
      <c r="M40" s="15">
        <v>0</v>
      </c>
      <c r="N40" s="15">
        <f>0</f>
        <v>0</v>
      </c>
      <c r="O40" s="15">
        <f>0</f>
        <v>0</v>
      </c>
      <c r="P40" s="15">
        <v>0</v>
      </c>
      <c r="Q40" s="15">
        <v>0</v>
      </c>
      <c r="R40" s="15">
        <v>0</v>
      </c>
      <c r="S40" s="15">
        <f>0</f>
        <v>0</v>
      </c>
      <c r="T40" s="15">
        <v>0</v>
      </c>
      <c r="U40" s="15">
        <v>1</v>
      </c>
      <c r="V40" s="15">
        <f>0</f>
        <v>0</v>
      </c>
      <c r="W40" s="15">
        <f>0</f>
        <v>0</v>
      </c>
      <c r="X40" s="15">
        <f>0</f>
        <v>0</v>
      </c>
      <c r="Y40" s="15">
        <v>0</v>
      </c>
      <c r="Z40" s="15">
        <f>0</f>
        <v>0</v>
      </c>
      <c r="AA40" s="15">
        <f>0</f>
        <v>0</v>
      </c>
      <c r="AB40" s="15">
        <f>0</f>
        <v>0</v>
      </c>
      <c r="AC40" s="15">
        <v>0</v>
      </c>
      <c r="AD40" s="15">
        <f>0</f>
        <v>0</v>
      </c>
      <c r="AE40" s="15">
        <f>0</f>
        <v>0</v>
      </c>
      <c r="AF40" s="15">
        <v>0</v>
      </c>
      <c r="AG40" s="15">
        <f>0</f>
        <v>0</v>
      </c>
      <c r="AH40" s="15">
        <f>0</f>
        <v>0</v>
      </c>
      <c r="AI40" s="15" t="s">
        <v>30</v>
      </c>
      <c r="AJ40" s="15" t="s">
        <v>34</v>
      </c>
      <c r="AK40" s="15"/>
      <c r="AL40" s="15"/>
      <c r="AM40" s="16"/>
    </row>
    <row r="42" spans="1:39" x14ac:dyDescent="0.25">
      <c r="A42" t="s">
        <v>33</v>
      </c>
      <c r="C42">
        <v>25</v>
      </c>
      <c r="D42">
        <v>24</v>
      </c>
      <c r="E42">
        <v>23</v>
      </c>
      <c r="F42">
        <v>22</v>
      </c>
      <c r="G42">
        <v>21</v>
      </c>
      <c r="H42">
        <v>20</v>
      </c>
      <c r="I42">
        <v>19</v>
      </c>
      <c r="J42">
        <v>18</v>
      </c>
      <c r="K42">
        <v>17</v>
      </c>
      <c r="L42">
        <v>16</v>
      </c>
      <c r="M42">
        <v>15</v>
      </c>
      <c r="N42">
        <v>14</v>
      </c>
      <c r="O42">
        <v>13</v>
      </c>
      <c r="P42">
        <v>12</v>
      </c>
      <c r="Q42">
        <v>11</v>
      </c>
      <c r="R42">
        <v>31</v>
      </c>
      <c r="S42">
        <v>10</v>
      </c>
      <c r="T42">
        <v>9</v>
      </c>
      <c r="U42">
        <v>8</v>
      </c>
      <c r="V42">
        <v>7</v>
      </c>
      <c r="W42">
        <v>6</v>
      </c>
      <c r="X42">
        <v>5</v>
      </c>
      <c r="Y42">
        <v>4</v>
      </c>
      <c r="Z42">
        <v>30</v>
      </c>
      <c r="AA42">
        <v>3</v>
      </c>
      <c r="AB42">
        <v>2</v>
      </c>
      <c r="AC42">
        <v>1</v>
      </c>
      <c r="AD42">
        <v>29</v>
      </c>
      <c r="AE42">
        <v>0</v>
      </c>
      <c r="AF42">
        <v>28</v>
      </c>
      <c r="AG42">
        <v>27</v>
      </c>
    </row>
    <row r="43" spans="1:39" x14ac:dyDescent="0.25">
      <c r="A43" t="s">
        <v>32</v>
      </c>
      <c r="C43">
        <v>31</v>
      </c>
      <c r="D43" s="2">
        <v>30</v>
      </c>
      <c r="E43">
        <v>29</v>
      </c>
      <c r="F43">
        <v>28</v>
      </c>
      <c r="G43">
        <v>27</v>
      </c>
      <c r="H43">
        <v>26</v>
      </c>
      <c r="I43">
        <v>25</v>
      </c>
      <c r="J43">
        <v>24</v>
      </c>
      <c r="K43">
        <v>23</v>
      </c>
      <c r="L43">
        <v>22</v>
      </c>
      <c r="M43">
        <v>21</v>
      </c>
      <c r="N43">
        <v>20</v>
      </c>
      <c r="O43">
        <v>19</v>
      </c>
      <c r="P43">
        <v>18</v>
      </c>
      <c r="Q43">
        <v>17</v>
      </c>
      <c r="R43" s="1">
        <v>16</v>
      </c>
      <c r="S43">
        <v>15</v>
      </c>
      <c r="T43">
        <v>14</v>
      </c>
      <c r="U43">
        <v>13</v>
      </c>
      <c r="V43">
        <v>12</v>
      </c>
      <c r="W43">
        <v>11</v>
      </c>
      <c r="X43">
        <v>10</v>
      </c>
      <c r="Y43">
        <v>9</v>
      </c>
      <c r="Z43" s="1">
        <v>8</v>
      </c>
      <c r="AA43">
        <v>7</v>
      </c>
      <c r="AB43">
        <v>6</v>
      </c>
      <c r="AC43">
        <v>5</v>
      </c>
      <c r="AD43" s="1">
        <v>4</v>
      </c>
      <c r="AE43">
        <v>3</v>
      </c>
      <c r="AF43" s="1">
        <v>2</v>
      </c>
      <c r="AG43" s="1">
        <v>1</v>
      </c>
    </row>
    <row r="44" spans="1:39" x14ac:dyDescent="0.25">
      <c r="A44" t="s">
        <v>21</v>
      </c>
      <c r="C44">
        <f t="shared" ref="C44:Q44" si="7">I39</f>
        <v>0</v>
      </c>
      <c r="D44">
        <f t="shared" si="7"/>
        <v>0</v>
      </c>
      <c r="E44">
        <f t="shared" si="7"/>
        <v>1</v>
      </c>
      <c r="F44">
        <f t="shared" si="7"/>
        <v>0</v>
      </c>
      <c r="G44">
        <f t="shared" si="7"/>
        <v>1</v>
      </c>
      <c r="H44">
        <f t="shared" si="7"/>
        <v>0</v>
      </c>
      <c r="I44">
        <f t="shared" si="7"/>
        <v>0</v>
      </c>
      <c r="J44">
        <f t="shared" si="7"/>
        <v>0</v>
      </c>
      <c r="K44">
        <f t="shared" si="7"/>
        <v>0</v>
      </c>
      <c r="L44">
        <f t="shared" si="7"/>
        <v>0</v>
      </c>
      <c r="M44">
        <f t="shared" si="7"/>
        <v>1</v>
      </c>
      <c r="N44">
        <f t="shared" si="7"/>
        <v>0</v>
      </c>
      <c r="O44">
        <f t="shared" si="7"/>
        <v>1</v>
      </c>
      <c r="P44">
        <f t="shared" si="7"/>
        <v>1</v>
      </c>
      <c r="Q44">
        <f t="shared" si="7"/>
        <v>0</v>
      </c>
      <c r="R44" s="1">
        <v>0</v>
      </c>
      <c r="S44">
        <f t="shared" ref="S44:Y44" si="8">X39</f>
        <v>0</v>
      </c>
      <c r="T44">
        <f t="shared" si="8"/>
        <v>0</v>
      </c>
      <c r="U44">
        <f t="shared" si="8"/>
        <v>1</v>
      </c>
      <c r="V44">
        <f t="shared" si="8"/>
        <v>0</v>
      </c>
      <c r="W44">
        <f t="shared" si="8"/>
        <v>1</v>
      </c>
      <c r="X44">
        <f t="shared" si="8"/>
        <v>0</v>
      </c>
      <c r="Y44">
        <f t="shared" si="8"/>
        <v>0</v>
      </c>
      <c r="Z44" s="1">
        <v>0</v>
      </c>
      <c r="AA44">
        <f>AE39</f>
        <v>1</v>
      </c>
      <c r="AB44">
        <f>AF39</f>
        <v>0</v>
      </c>
      <c r="AC44">
        <f>AG39</f>
        <v>1</v>
      </c>
      <c r="AD44" s="1">
        <v>0</v>
      </c>
      <c r="AE44">
        <f>AH39</f>
        <v>0</v>
      </c>
      <c r="AF44" s="1">
        <v>0</v>
      </c>
      <c r="AG44" s="1">
        <v>0</v>
      </c>
      <c r="AK44" s="2"/>
    </row>
    <row r="46" spans="1:39" x14ac:dyDescent="0.25">
      <c r="A46" t="s">
        <v>22</v>
      </c>
      <c r="C46">
        <f>_xlfn.BITAND(C$44,C2)</f>
        <v>0</v>
      </c>
      <c r="D46">
        <f>_xlfn.BITAND(D$44,D2)</f>
        <v>0</v>
      </c>
      <c r="E46">
        <f>_xlfn.BITAND(E$44,E2)</f>
        <v>1</v>
      </c>
      <c r="F46">
        <f>_xlfn.BITAND(F$44,F2)</f>
        <v>0</v>
      </c>
      <c r="G46">
        <f>_xlfn.BITAND(G$44,G2)</f>
        <v>1</v>
      </c>
      <c r="H46">
        <f>_xlfn.BITAND(H$44,H2)</f>
        <v>0</v>
      </c>
      <c r="I46">
        <f>_xlfn.BITAND(I$44,I2)</f>
        <v>0</v>
      </c>
      <c r="J46">
        <f>_xlfn.BITAND(J$44,J2)</f>
        <v>0</v>
      </c>
      <c r="K46">
        <f>_xlfn.BITAND(K$44,K2)</f>
        <v>0</v>
      </c>
      <c r="L46">
        <f>_xlfn.BITAND(L$44,L2)</f>
        <v>0</v>
      </c>
      <c r="M46">
        <f>_xlfn.BITAND(M$44,M2)</f>
        <v>1</v>
      </c>
      <c r="N46">
        <f>_xlfn.BITAND(N$44,N2)</f>
        <v>0</v>
      </c>
      <c r="O46">
        <f>_xlfn.BITAND(O$44,O2)</f>
        <v>1</v>
      </c>
      <c r="P46">
        <f>_xlfn.BITAND(P$44,P2)</f>
        <v>0</v>
      </c>
      <c r="Q46">
        <f>_xlfn.BITAND(Q$44,Q2)</f>
        <v>0</v>
      </c>
      <c r="R46" s="1">
        <f>_xlfn.BITAND(R$44,R2)</f>
        <v>0</v>
      </c>
      <c r="S46">
        <f>_xlfn.BITAND(S$44,S2)</f>
        <v>0</v>
      </c>
      <c r="T46">
        <f>_xlfn.BITAND(T$44,T2)</f>
        <v>0</v>
      </c>
      <c r="U46">
        <f>_xlfn.BITAND(U$44,U2)</f>
        <v>1</v>
      </c>
      <c r="V46">
        <f>_xlfn.BITAND(V$44,V2)</f>
        <v>0</v>
      </c>
      <c r="W46">
        <f>_xlfn.BITAND(W$44,W2)</f>
        <v>1</v>
      </c>
      <c r="X46">
        <f>_xlfn.BITAND(X$44,X2)</f>
        <v>0</v>
      </c>
      <c r="Y46">
        <f>_xlfn.BITAND(Y$44,Y2)</f>
        <v>0</v>
      </c>
      <c r="Z46" s="1">
        <f>_xlfn.BITAND(Z$44,Z2)</f>
        <v>0</v>
      </c>
      <c r="AA46">
        <f>_xlfn.BITAND(AA$44,AA2)</f>
        <v>1</v>
      </c>
      <c r="AB46">
        <f>_xlfn.BITAND(AB$44,AB2)</f>
        <v>0</v>
      </c>
      <c r="AC46">
        <f>_xlfn.BITAND(AC$44,AC2)</f>
        <v>1</v>
      </c>
      <c r="AD46" s="1">
        <f>_xlfn.BITAND(AD$44,AD2)</f>
        <v>0</v>
      </c>
      <c r="AE46">
        <f>_xlfn.BITAND(AE$44,AE2)</f>
        <v>0</v>
      </c>
      <c r="AF46" s="1">
        <f>_xlfn.BITAND(AF$44,AF2)</f>
        <v>0</v>
      </c>
      <c r="AG46" s="1">
        <f>_xlfn.BITAND(AG$44,AG2)</f>
        <v>0</v>
      </c>
    </row>
    <row r="47" spans="1:39" x14ac:dyDescent="0.25">
      <c r="A47" t="s">
        <v>23</v>
      </c>
      <c r="C47">
        <f>_xlfn.BITAND(C$44,C3)</f>
        <v>0</v>
      </c>
      <c r="D47">
        <f>_xlfn.BITAND(D$44,D3)</f>
        <v>0</v>
      </c>
      <c r="E47">
        <f>_xlfn.BITAND(E$44,E3)</f>
        <v>0</v>
      </c>
      <c r="F47">
        <f>_xlfn.BITAND(F$44,F3)</f>
        <v>0</v>
      </c>
      <c r="G47">
        <f>_xlfn.BITAND(G$44,G3)</f>
        <v>1</v>
      </c>
      <c r="H47">
        <f>_xlfn.BITAND(H$44,H3)</f>
        <v>0</v>
      </c>
      <c r="I47">
        <f>_xlfn.BITAND(I$44,I3)</f>
        <v>0</v>
      </c>
      <c r="J47">
        <f>_xlfn.BITAND(J$44,J3)</f>
        <v>0</v>
      </c>
      <c r="K47">
        <f>_xlfn.BITAND(K$44,K3)</f>
        <v>0</v>
      </c>
      <c r="L47">
        <f>_xlfn.BITAND(L$44,L3)</f>
        <v>0</v>
      </c>
      <c r="M47">
        <f>_xlfn.BITAND(M$44,M3)</f>
        <v>0</v>
      </c>
      <c r="N47">
        <f>_xlfn.BITAND(N$44,N3)</f>
        <v>0</v>
      </c>
      <c r="O47">
        <f>_xlfn.BITAND(O$44,O3)</f>
        <v>1</v>
      </c>
      <c r="P47">
        <f>_xlfn.BITAND(P$44,P3)</f>
        <v>1</v>
      </c>
      <c r="Q47">
        <f>_xlfn.BITAND(Q$44,Q3)</f>
        <v>0</v>
      </c>
      <c r="R47" s="1">
        <f>_xlfn.BITAND(R$44,R3)</f>
        <v>0</v>
      </c>
      <c r="S47">
        <f>_xlfn.BITAND(S$44,S3)</f>
        <v>0</v>
      </c>
      <c r="T47">
        <f>_xlfn.BITAND(T$44,T3)</f>
        <v>0</v>
      </c>
      <c r="U47">
        <f>_xlfn.BITAND(U$44,U3)</f>
        <v>0</v>
      </c>
      <c r="V47">
        <f>_xlfn.BITAND(V$44,V3)</f>
        <v>0</v>
      </c>
      <c r="W47">
        <f>_xlfn.BITAND(W$44,W3)</f>
        <v>1</v>
      </c>
      <c r="X47">
        <f>_xlfn.BITAND(X$44,X3)</f>
        <v>0</v>
      </c>
      <c r="Y47">
        <f>_xlfn.BITAND(Y$44,Y3)</f>
        <v>0</v>
      </c>
      <c r="Z47" s="1">
        <f>_xlfn.BITAND(Z$44,Z3)</f>
        <v>0</v>
      </c>
      <c r="AA47">
        <f>_xlfn.BITAND(AA$44,AA3)</f>
        <v>1</v>
      </c>
      <c r="AB47">
        <f>_xlfn.BITAND(AB$44,AB3)</f>
        <v>0</v>
      </c>
      <c r="AC47">
        <f>_xlfn.BITAND(AC$44,AC3)</f>
        <v>0</v>
      </c>
      <c r="AD47" s="1">
        <f>_xlfn.BITAND(AD$44,AD3)</f>
        <v>0</v>
      </c>
      <c r="AE47">
        <f>_xlfn.BITAND(AE$44,AE3)</f>
        <v>0</v>
      </c>
      <c r="AF47" s="1">
        <f>_xlfn.BITAND(AF$44,AF3)</f>
        <v>0</v>
      </c>
      <c r="AG47" s="1">
        <f>_xlfn.BITAND(AG$44,AG3)</f>
        <v>0</v>
      </c>
    </row>
    <row r="48" spans="1:39" x14ac:dyDescent="0.25">
      <c r="A48" t="s">
        <v>24</v>
      </c>
      <c r="C48">
        <f>_xlfn.BITAND(C$44,C4)</f>
        <v>0</v>
      </c>
      <c r="D48">
        <f>_xlfn.BITAND(D$44,D4)</f>
        <v>0</v>
      </c>
      <c r="E48">
        <f>_xlfn.BITAND(E$44,E4)</f>
        <v>1</v>
      </c>
      <c r="F48">
        <f>_xlfn.BITAND(F$44,F4)</f>
        <v>0</v>
      </c>
      <c r="G48">
        <f>_xlfn.BITAND(G$44,G4)</f>
        <v>0</v>
      </c>
      <c r="H48">
        <f>_xlfn.BITAND(H$44,H4)</f>
        <v>0</v>
      </c>
      <c r="I48">
        <f>_xlfn.BITAND(I$44,I4)</f>
        <v>0</v>
      </c>
      <c r="J48">
        <f>_xlfn.BITAND(J$44,J4)</f>
        <v>0</v>
      </c>
      <c r="K48">
        <f>_xlfn.BITAND(K$44,K4)</f>
        <v>0</v>
      </c>
      <c r="L48">
        <f>_xlfn.BITAND(L$44,L4)</f>
        <v>0</v>
      </c>
      <c r="M48">
        <f>_xlfn.BITAND(M$44,M4)</f>
        <v>1</v>
      </c>
      <c r="N48">
        <f>_xlfn.BITAND(N$44,N4)</f>
        <v>0</v>
      </c>
      <c r="O48">
        <f>_xlfn.BITAND(O$44,O4)</f>
        <v>0</v>
      </c>
      <c r="P48">
        <f>_xlfn.BITAND(P$44,P4)</f>
        <v>0</v>
      </c>
      <c r="Q48">
        <f>_xlfn.BITAND(Q$44,Q4)</f>
        <v>0</v>
      </c>
      <c r="R48" s="1">
        <f>_xlfn.BITAND(R$44,R4)</f>
        <v>0</v>
      </c>
      <c r="S48">
        <f>_xlfn.BITAND(S$44,S4)</f>
        <v>0</v>
      </c>
      <c r="T48">
        <f>_xlfn.BITAND(T$44,T4)</f>
        <v>0</v>
      </c>
      <c r="U48">
        <f>_xlfn.BITAND(U$44,U4)</f>
        <v>1</v>
      </c>
      <c r="V48">
        <f>_xlfn.BITAND(V$44,V4)</f>
        <v>0</v>
      </c>
      <c r="W48">
        <f>_xlfn.BITAND(W$44,W4)</f>
        <v>0</v>
      </c>
      <c r="X48">
        <f>_xlfn.BITAND(X$44,X4)</f>
        <v>0</v>
      </c>
      <c r="Y48">
        <f>_xlfn.BITAND(Y$44,Y4)</f>
        <v>0</v>
      </c>
      <c r="Z48" s="1">
        <f>_xlfn.BITAND(Z$44,Z4)</f>
        <v>0</v>
      </c>
      <c r="AA48">
        <f>_xlfn.BITAND(AA$44,AA4)</f>
        <v>1</v>
      </c>
      <c r="AB48">
        <f>_xlfn.BITAND(AB$44,AB4)</f>
        <v>0</v>
      </c>
      <c r="AC48">
        <f>_xlfn.BITAND(AC$44,AC4)</f>
        <v>1</v>
      </c>
      <c r="AD48" s="1">
        <f>_xlfn.BITAND(AD$44,AD4)</f>
        <v>0</v>
      </c>
      <c r="AE48">
        <f>_xlfn.BITAND(AE$44,AE4)</f>
        <v>0</v>
      </c>
      <c r="AF48" s="1">
        <f>_xlfn.BITAND(AF$44,AF4)</f>
        <v>0</v>
      </c>
      <c r="AG48" s="1">
        <f>_xlfn.BITAND(AG$44,AG4)</f>
        <v>0</v>
      </c>
    </row>
    <row r="49" spans="1:33" x14ac:dyDescent="0.25">
      <c r="A49" t="s">
        <v>25</v>
      </c>
      <c r="C49">
        <f>_xlfn.BITAND(C$44,C5)</f>
        <v>0</v>
      </c>
      <c r="D49">
        <f>_xlfn.BITAND(D$44,D5)</f>
        <v>0</v>
      </c>
      <c r="E49">
        <f>_xlfn.BITAND(E$44,E5)</f>
        <v>1</v>
      </c>
      <c r="F49">
        <f>_xlfn.BITAND(F$44,F5)</f>
        <v>0</v>
      </c>
      <c r="G49">
        <f>_xlfn.BITAND(G$44,G5)</f>
        <v>1</v>
      </c>
      <c r="H49">
        <f>_xlfn.BITAND(H$44,H5)</f>
        <v>0</v>
      </c>
      <c r="I49">
        <f>_xlfn.BITAND(I$44,I5)</f>
        <v>0</v>
      </c>
      <c r="J49">
        <f>_xlfn.BITAND(J$44,J5)</f>
        <v>0</v>
      </c>
      <c r="K49">
        <f>_xlfn.BITAND(K$44,K5)</f>
        <v>0</v>
      </c>
      <c r="L49">
        <f>_xlfn.BITAND(L$44,L5)</f>
        <v>0</v>
      </c>
      <c r="M49">
        <f>_xlfn.BITAND(M$44,M5)</f>
        <v>0</v>
      </c>
      <c r="N49">
        <f>_xlfn.BITAND(N$44,N5)</f>
        <v>0</v>
      </c>
      <c r="O49">
        <f>_xlfn.BITAND(O$44,O5)</f>
        <v>0</v>
      </c>
      <c r="P49">
        <f>_xlfn.BITAND(P$44,P5)</f>
        <v>0</v>
      </c>
      <c r="Q49">
        <f>_xlfn.BITAND(Q$44,Q5)</f>
        <v>0</v>
      </c>
      <c r="R49" s="1">
        <f>_xlfn.BITAND(R$44,R5)</f>
        <v>0</v>
      </c>
      <c r="S49">
        <f>_xlfn.BITAND(S$44,S5)</f>
        <v>0</v>
      </c>
      <c r="T49">
        <f>_xlfn.BITAND(T$44,T5)</f>
        <v>0</v>
      </c>
      <c r="U49">
        <f>_xlfn.BITAND(U$44,U5)</f>
        <v>1</v>
      </c>
      <c r="V49">
        <f>_xlfn.BITAND(V$44,V5)</f>
        <v>0</v>
      </c>
      <c r="W49">
        <f>_xlfn.BITAND(W$44,W5)</f>
        <v>1</v>
      </c>
      <c r="X49">
        <f>_xlfn.BITAND(X$44,X5)</f>
        <v>0</v>
      </c>
      <c r="Y49">
        <f>_xlfn.BITAND(Y$44,Y5)</f>
        <v>0</v>
      </c>
      <c r="Z49" s="1">
        <f>_xlfn.BITAND(Z$44,Z5)</f>
        <v>0</v>
      </c>
      <c r="AA49">
        <f>_xlfn.BITAND(AA$44,AA5)</f>
        <v>0</v>
      </c>
      <c r="AB49">
        <f>_xlfn.BITAND(AB$44,AB5)</f>
        <v>0</v>
      </c>
      <c r="AC49">
        <f>_xlfn.BITAND(AC$44,AC5)</f>
        <v>0</v>
      </c>
      <c r="AD49" s="1">
        <f>_xlfn.BITAND(AD$44,AD5)</f>
        <v>0</v>
      </c>
      <c r="AE49">
        <f>_xlfn.BITAND(AE$44,AE5)</f>
        <v>0</v>
      </c>
      <c r="AF49" s="1">
        <f>_xlfn.BITAND(AF$44,AF5)</f>
        <v>0</v>
      </c>
      <c r="AG49" s="1">
        <f>_xlfn.BITAND(AG$44,AG5)</f>
        <v>0</v>
      </c>
    </row>
    <row r="50" spans="1:33" x14ac:dyDescent="0.25">
      <c r="A50" t="s">
        <v>26</v>
      </c>
      <c r="C50">
        <f>_xlfn.BITAND(C$44,C6)</f>
        <v>0</v>
      </c>
      <c r="D50">
        <f>_xlfn.BITAND(D$44,D6)</f>
        <v>0</v>
      </c>
      <c r="E50">
        <f>_xlfn.BITAND(E$44,E6)</f>
        <v>1</v>
      </c>
      <c r="F50">
        <f>_xlfn.BITAND(F$44,F6)</f>
        <v>0</v>
      </c>
      <c r="G50">
        <f>_xlfn.BITAND(G$44,G6)</f>
        <v>1</v>
      </c>
      <c r="H50">
        <f>_xlfn.BITAND(H$44,H6)</f>
        <v>0</v>
      </c>
      <c r="I50">
        <f>_xlfn.BITAND(I$44,I6)</f>
        <v>0</v>
      </c>
      <c r="J50">
        <f>_xlfn.BITAND(J$44,J6)</f>
        <v>0</v>
      </c>
      <c r="K50">
        <f>_xlfn.BITAND(K$44,K6)</f>
        <v>0</v>
      </c>
      <c r="L50">
        <f>_xlfn.BITAND(L$44,L6)</f>
        <v>0</v>
      </c>
      <c r="M50">
        <f>_xlfn.BITAND(M$44,M6)</f>
        <v>1</v>
      </c>
      <c r="N50">
        <f>_xlfn.BITAND(N$44,N6)</f>
        <v>0</v>
      </c>
      <c r="O50">
        <f>_xlfn.BITAND(O$44,O6)</f>
        <v>1</v>
      </c>
      <c r="P50">
        <f>_xlfn.BITAND(P$44,P6)</f>
        <v>1</v>
      </c>
      <c r="Q50">
        <f>_xlfn.BITAND(Q$44,Q6)</f>
        <v>0</v>
      </c>
      <c r="R50" s="1">
        <f>_xlfn.BITAND(R$44,R6)</f>
        <v>0</v>
      </c>
      <c r="S50">
        <f>_xlfn.BITAND(S$44,S6)</f>
        <v>0</v>
      </c>
      <c r="T50">
        <f>_xlfn.BITAND(T$44,T6)</f>
        <v>0</v>
      </c>
      <c r="U50">
        <f>_xlfn.BITAND(U$44,U6)</f>
        <v>0</v>
      </c>
      <c r="V50">
        <f>_xlfn.BITAND(V$44,V6)</f>
        <v>0</v>
      </c>
      <c r="W50">
        <f>_xlfn.BITAND(W$44,W6)</f>
        <v>0</v>
      </c>
      <c r="X50">
        <f>_xlfn.BITAND(X$44,X6)</f>
        <v>0</v>
      </c>
      <c r="Y50">
        <f>_xlfn.BITAND(Y$44,Y6)</f>
        <v>0</v>
      </c>
      <c r="Z50" s="1">
        <f>_xlfn.BITAND(Z$44,Z6)</f>
        <v>0</v>
      </c>
      <c r="AA50">
        <f>_xlfn.BITAND(AA$44,AA6)</f>
        <v>0</v>
      </c>
      <c r="AB50">
        <f>_xlfn.BITAND(AB$44,AB6)</f>
        <v>0</v>
      </c>
      <c r="AC50">
        <f>_xlfn.BITAND(AC$44,AC6)</f>
        <v>0</v>
      </c>
      <c r="AD50" s="1">
        <f>_xlfn.BITAND(AD$44,AD6)</f>
        <v>0</v>
      </c>
      <c r="AE50">
        <f>_xlfn.BITAND(AE$44,AE6)</f>
        <v>0</v>
      </c>
      <c r="AF50" s="1">
        <f>_xlfn.BITAND(AF$44,AF6)</f>
        <v>0</v>
      </c>
      <c r="AG50" s="1">
        <f>_xlfn.BITAND(AG$44,AG6)</f>
        <v>0</v>
      </c>
    </row>
    <row r="52" spans="1:33" x14ac:dyDescent="0.25">
      <c r="A52" t="s">
        <v>1</v>
      </c>
      <c r="C52">
        <v>4</v>
      </c>
      <c r="D52">
        <v>3</v>
      </c>
      <c r="E52">
        <v>2</v>
      </c>
      <c r="F52">
        <v>1</v>
      </c>
      <c r="G52">
        <v>0</v>
      </c>
    </row>
    <row r="53" spans="1:33" x14ac:dyDescent="0.25">
      <c r="A53" t="s">
        <v>2</v>
      </c>
      <c r="C53">
        <f>C38</f>
        <v>0</v>
      </c>
      <c r="D53">
        <f>D38</f>
        <v>0</v>
      </c>
      <c r="E53">
        <f>E38</f>
        <v>1</v>
      </c>
      <c r="F53">
        <f>F38</f>
        <v>0</v>
      </c>
      <c r="G53">
        <f>G38</f>
        <v>1</v>
      </c>
    </row>
    <row r="54" spans="1:33" x14ac:dyDescent="0.25">
      <c r="A54" t="s">
        <v>3</v>
      </c>
      <c r="C54">
        <f>IF(ISEVEN(SUM(C50:AG50)),0,1)</f>
        <v>1</v>
      </c>
      <c r="D54">
        <f>IF(ISEVEN(SUM(C49:AG49)),0,1)</f>
        <v>0</v>
      </c>
      <c r="E54">
        <f>IF(ISEVEN(SUM(C48:AG48)),0,1)</f>
        <v>1</v>
      </c>
      <c r="F54">
        <f>IF(ISEVEN(SUM(C47:AG47)),0,1)</f>
        <v>1</v>
      </c>
      <c r="G54">
        <f>IF(ISEVEN(SUM(C46:AG46)),0,1)</f>
        <v>0</v>
      </c>
    </row>
    <row r="55" spans="1:33" x14ac:dyDescent="0.25">
      <c r="A55" t="s">
        <v>4</v>
      </c>
      <c r="C55">
        <f t="shared" ref="C55:F55" si="9">_xlfn.BITXOR(C53,C54)</f>
        <v>1</v>
      </c>
      <c r="D55">
        <f t="shared" si="9"/>
        <v>0</v>
      </c>
      <c r="E55">
        <f t="shared" si="9"/>
        <v>0</v>
      </c>
      <c r="F55">
        <f t="shared" si="9"/>
        <v>1</v>
      </c>
      <c r="G55">
        <f>_xlfn.BITXOR(G53,G54)</f>
        <v>1</v>
      </c>
    </row>
    <row r="56" spans="1:33" x14ac:dyDescent="0.25">
      <c r="A56" t="s">
        <v>20</v>
      </c>
      <c r="C56">
        <f>SUM(C74:G74)</f>
        <v>19</v>
      </c>
    </row>
    <row r="58" spans="1:33" x14ac:dyDescent="0.25">
      <c r="A58" t="s">
        <v>28</v>
      </c>
      <c r="C58">
        <f>H39</f>
        <v>0</v>
      </c>
    </row>
    <row r="59" spans="1:33" x14ac:dyDescent="0.25">
      <c r="A59" t="s">
        <v>27</v>
      </c>
      <c r="C59">
        <f>IF(ISEVEN(SUM(SUM(I39:AH39),SUM(C39:G39))),0,1)</f>
        <v>1</v>
      </c>
    </row>
    <row r="60" spans="1:33" x14ac:dyDescent="0.25">
      <c r="A60" t="s">
        <v>29</v>
      </c>
      <c r="C60" t="b">
        <f>C58=C59</f>
        <v>0</v>
      </c>
    </row>
    <row r="71" spans="1:34" x14ac:dyDescent="0.25">
      <c r="A71" t="s">
        <v>5</v>
      </c>
      <c r="C71">
        <f>C25</f>
        <v>0</v>
      </c>
      <c r="D71">
        <f>D25</f>
        <v>0</v>
      </c>
      <c r="E71">
        <f>E25</f>
        <v>1</v>
      </c>
      <c r="F71">
        <f>F25</f>
        <v>0</v>
      </c>
      <c r="G71">
        <f>G25</f>
        <v>1</v>
      </c>
      <c r="H71">
        <f>C27</f>
        <v>0</v>
      </c>
      <c r="I71">
        <f>C12</f>
        <v>0</v>
      </c>
      <c r="J71">
        <f>D12</f>
        <v>0</v>
      </c>
      <c r="K71">
        <f>E12</f>
        <v>1</v>
      </c>
      <c r="L71">
        <f>F12</f>
        <v>0</v>
      </c>
      <c r="M71">
        <f>G12</f>
        <v>1</v>
      </c>
      <c r="N71">
        <f>H12</f>
        <v>0</v>
      </c>
      <c r="O71">
        <f>I12</f>
        <v>0</v>
      </c>
      <c r="P71">
        <f>J12</f>
        <v>0</v>
      </c>
      <c r="Q71">
        <f>K12</f>
        <v>0</v>
      </c>
      <c r="R71">
        <f>L12</f>
        <v>0</v>
      </c>
      <c r="S71">
        <f>M12</f>
        <v>1</v>
      </c>
      <c r="T71">
        <f>N12</f>
        <v>0</v>
      </c>
      <c r="U71">
        <f>O12</f>
        <v>0</v>
      </c>
      <c r="V71">
        <f>P12</f>
        <v>1</v>
      </c>
      <c r="W71">
        <f>Q12</f>
        <v>0</v>
      </c>
      <c r="X71">
        <f>R12</f>
        <v>0</v>
      </c>
      <c r="Y71">
        <f>S12</f>
        <v>0</v>
      </c>
      <c r="Z71">
        <f>T12</f>
        <v>1</v>
      </c>
      <c r="AA71">
        <f>U12</f>
        <v>0</v>
      </c>
      <c r="AB71">
        <f>V12</f>
        <v>1</v>
      </c>
      <c r="AC71">
        <f>W12</f>
        <v>0</v>
      </c>
      <c r="AD71">
        <f>X12</f>
        <v>0</v>
      </c>
      <c r="AE71">
        <f>Y12</f>
        <v>1</v>
      </c>
      <c r="AF71">
        <f>Z12</f>
        <v>0</v>
      </c>
      <c r="AG71">
        <f>AA12</f>
        <v>1</v>
      </c>
      <c r="AH71">
        <f>AB12</f>
        <v>0</v>
      </c>
    </row>
    <row r="72" spans="1:34" x14ac:dyDescent="0.25">
      <c r="A72" t="s">
        <v>5</v>
      </c>
      <c r="C72">
        <f>2^C37*C71</f>
        <v>0</v>
      </c>
      <c r="D72">
        <f>2^D37*D71</f>
        <v>0</v>
      </c>
      <c r="E72">
        <f>2^E37*E71</f>
        <v>536870912</v>
      </c>
      <c r="F72">
        <f>2^F37*F71</f>
        <v>0</v>
      </c>
      <c r="G72">
        <f>2^G37*G71</f>
        <v>134217728</v>
      </c>
      <c r="H72">
        <f>2^H37*H71</f>
        <v>0</v>
      </c>
      <c r="I72">
        <f>2^I37*I71</f>
        <v>0</v>
      </c>
      <c r="J72">
        <f>2^J37*J71</f>
        <v>0</v>
      </c>
      <c r="K72">
        <f>2^K37*K71</f>
        <v>8388608</v>
      </c>
      <c r="L72">
        <f>2^L37*L71</f>
        <v>0</v>
      </c>
      <c r="M72">
        <f>2^M37*M71</f>
        <v>2097152</v>
      </c>
      <c r="N72">
        <f>2^N37*N71</f>
        <v>0</v>
      </c>
      <c r="O72">
        <f>2^O37*O71</f>
        <v>0</v>
      </c>
      <c r="P72">
        <f>2^P37*P71</f>
        <v>0</v>
      </c>
      <c r="Q72">
        <f>2^Q37*Q71</f>
        <v>0</v>
      </c>
      <c r="R72">
        <f>2^R37*R71</f>
        <v>0</v>
      </c>
      <c r="S72">
        <f>2^S37*S71</f>
        <v>32768</v>
      </c>
      <c r="T72">
        <f>2^T37*T71</f>
        <v>0</v>
      </c>
      <c r="U72">
        <f>2^U37*U71</f>
        <v>0</v>
      </c>
      <c r="V72">
        <f>2^V37*V71</f>
        <v>4096</v>
      </c>
      <c r="W72">
        <f>2^W37*W71</f>
        <v>0</v>
      </c>
      <c r="X72">
        <f>2^X37*X71</f>
        <v>0</v>
      </c>
      <c r="Y72">
        <f>2^Y37*Y71</f>
        <v>0</v>
      </c>
      <c r="Z72">
        <f>2^Z37*Z71</f>
        <v>256</v>
      </c>
      <c r="AA72">
        <f>2^AA37*AA71</f>
        <v>0</v>
      </c>
      <c r="AB72">
        <f>2^AB37*AB71</f>
        <v>64</v>
      </c>
      <c r="AC72">
        <f>2^AC37*AC71</f>
        <v>0</v>
      </c>
      <c r="AD72">
        <f>2^AD37*AD71</f>
        <v>0</v>
      </c>
      <c r="AE72">
        <f>2^AE37*AE71</f>
        <v>8</v>
      </c>
      <c r="AF72">
        <f>2^AF37*AF71</f>
        <v>0</v>
      </c>
      <c r="AG72">
        <f>2^AG37*AG71</f>
        <v>2</v>
      </c>
      <c r="AH72">
        <f>2^AH37*AH71</f>
        <v>0</v>
      </c>
    </row>
    <row r="74" spans="1:34" x14ac:dyDescent="0.25">
      <c r="A74" t="s">
        <v>5</v>
      </c>
      <c r="C74">
        <f>2^C52*C55</f>
        <v>16</v>
      </c>
      <c r="D74">
        <f>2^D52*D55</f>
        <v>0</v>
      </c>
      <c r="E74">
        <f>2^E52*E55</f>
        <v>0</v>
      </c>
      <c r="F74">
        <f>2^F52*F55</f>
        <v>2</v>
      </c>
      <c r="G74">
        <f>2^G52*G55</f>
        <v>1</v>
      </c>
    </row>
    <row r="75" spans="1:34" x14ac:dyDescent="0.25">
      <c r="A75" t="s">
        <v>5</v>
      </c>
      <c r="C75">
        <f>2^C37*C39</f>
        <v>0</v>
      </c>
      <c r="D75">
        <f>2^D37*D39</f>
        <v>0</v>
      </c>
      <c r="E75">
        <f>2^E37*E39</f>
        <v>536870912</v>
      </c>
      <c r="F75">
        <f>2^F37*F39</f>
        <v>0</v>
      </c>
      <c r="G75">
        <f>2^G37*G39</f>
        <v>134217728</v>
      </c>
      <c r="H75">
        <f>2^H37*H39</f>
        <v>0</v>
      </c>
      <c r="I75">
        <f>2^I37*I39</f>
        <v>0</v>
      </c>
      <c r="J75">
        <f>2^J37*J39</f>
        <v>0</v>
      </c>
      <c r="K75">
        <f>2^K37*K39</f>
        <v>8388608</v>
      </c>
      <c r="L75">
        <f>2^L37*L39</f>
        <v>0</v>
      </c>
      <c r="M75">
        <f>2^M37*M39</f>
        <v>2097152</v>
      </c>
      <c r="N75">
        <f>2^N37*N39</f>
        <v>0</v>
      </c>
      <c r="O75">
        <f>2^O37*O39</f>
        <v>0</v>
      </c>
      <c r="P75">
        <f>2^P37*P39</f>
        <v>0</v>
      </c>
      <c r="Q75">
        <f>2^Q37*Q39</f>
        <v>0</v>
      </c>
      <c r="R75">
        <f>2^R37*R39</f>
        <v>0</v>
      </c>
      <c r="S75">
        <f>2^S37*S39</f>
        <v>32768</v>
      </c>
      <c r="T75">
        <f>2^T37*T39</f>
        <v>0</v>
      </c>
      <c r="U75">
        <f>2^U37*U39</f>
        <v>8192</v>
      </c>
      <c r="V75">
        <f>2^V37*V39</f>
        <v>4096</v>
      </c>
      <c r="W75">
        <f>2^W37*W39</f>
        <v>0</v>
      </c>
      <c r="X75">
        <f>2^X37*X39</f>
        <v>0</v>
      </c>
      <c r="Y75">
        <f>2^Y37*Y39</f>
        <v>0</v>
      </c>
      <c r="Z75">
        <f>2^Z37*Z39</f>
        <v>256</v>
      </c>
      <c r="AA75">
        <f>2^AA37*AA39</f>
        <v>0</v>
      </c>
      <c r="AB75">
        <f>2^AB37*AB39</f>
        <v>64</v>
      </c>
      <c r="AC75">
        <f>2^AC37*AC39</f>
        <v>0</v>
      </c>
      <c r="AD75">
        <f>2^AD37*AD39</f>
        <v>0</v>
      </c>
      <c r="AE75">
        <f>2^AE37*AE39</f>
        <v>8</v>
      </c>
      <c r="AF75">
        <f>2^AF37*AF39</f>
        <v>0</v>
      </c>
      <c r="AG75">
        <f>2^AG37*AG39</f>
        <v>2</v>
      </c>
      <c r="AH75">
        <f>2^AH37*AH39</f>
        <v>0</v>
      </c>
    </row>
  </sheetData>
  <mergeCells count="2">
    <mergeCell ref="I36:AH36"/>
    <mergeCell ref="C36:G36"/>
  </mergeCells>
  <conditionalFormatting sqref="C2:AH6 A2:A6 A8">
    <cfRule type="cellIs" dxfId="4" priority="5" operator="equal">
      <formula>1</formula>
    </cfRule>
  </conditionalFormatting>
  <conditionalFormatting sqref="C55:G55">
    <cfRule type="cellIs" dxfId="3" priority="4" operator="equal">
      <formula>1</formula>
    </cfRule>
  </conditionalFormatting>
  <conditionalFormatting sqref="C40:AH40">
    <cfRule type="cellIs" dxfId="2" priority="3" operator="equal">
      <formula>1</formula>
    </cfRule>
  </conditionalFormatting>
  <conditionalFormatting sqref="C43:AG43">
    <cfRule type="cellIs" dxfId="1" priority="6" operator="equal">
      <formula>$C$56</formula>
    </cfRule>
  </conditionalFormatting>
  <conditionalFormatting sqref="A32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ECC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Kolbenkov</dc:creator>
  <cp:lastModifiedBy>Pavel Kolbenkov</cp:lastModifiedBy>
  <dcterms:created xsi:type="dcterms:W3CDTF">2026-04-02T18:11:41Z</dcterms:created>
  <dcterms:modified xsi:type="dcterms:W3CDTF">2026-04-14T09:52:09Z</dcterms:modified>
</cp:coreProperties>
</file>